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messanders/Documents/cbai/econ 81326/claude/"/>
    </mc:Choice>
  </mc:AlternateContent>
  <xr:revisionPtr revIDLastSave="0" documentId="13_ncr:1_{C5929DE4-1F4C-D445-B743-DC788B4DA645}" xr6:coauthVersionLast="47" xr6:coauthVersionMax="47" xr10:uidLastSave="{00000000-0000-0000-0000-000000000000}"/>
  <bookViews>
    <workbookView xWindow="34400" yWindow="600" windowWidth="34400" windowHeight="28200" activeTab="10" xr2:uid="{00000000-000D-0000-FFFF-FFFF00000000}"/>
  </bookViews>
  <sheets>
    <sheet name="README" sheetId="1" r:id="rId1"/>
    <sheet name="Companies" sheetId="2" r:id="rId2"/>
    <sheet name="GDP" sheetId="3" r:id="rId3"/>
    <sheet name="StockMarket" sheetId="4" r:id="rId4"/>
    <sheet name="Compute" sheetId="5" r:id="rId5"/>
    <sheet name="Capabilities" sheetId="6" r:id="rId6"/>
    <sheet name="Capex" sheetId="7" r:id="rId7"/>
    <sheet name="Sector_MarketCap" sheetId="8" r:id="rId8"/>
    <sheet name="Sector_Debt" sheetId="9" r:id="rId9"/>
    <sheet name="Sector_Cash" sheetId="10" r:id="rId10"/>
    <sheet name="Parameters" sheetId="11" r:id="rId11"/>
    <sheet name="Polici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2" l="1"/>
  <c r="C90" i="2"/>
  <c r="C89" i="2"/>
  <c r="C88" i="2"/>
  <c r="D85" i="2"/>
  <c r="G85" i="2" s="1"/>
  <c r="G15" i="9" s="1"/>
  <c r="C85" i="2"/>
  <c r="F85" i="2" s="1"/>
  <c r="G15" i="8" s="1"/>
  <c r="D83" i="2"/>
  <c r="G83" i="2" s="1"/>
  <c r="G13" i="9" s="1"/>
  <c r="D82" i="2"/>
  <c r="G82" i="2" s="1"/>
  <c r="G12" i="9" s="1"/>
  <c r="D80" i="2"/>
  <c r="G80" i="2" s="1"/>
  <c r="G10" i="9" s="1"/>
  <c r="D79" i="2"/>
  <c r="G79" i="2" s="1"/>
  <c r="G9" i="9" s="1"/>
  <c r="C79" i="2"/>
  <c r="F79" i="2" s="1"/>
  <c r="G9" i="8" s="1"/>
  <c r="D78" i="2"/>
  <c r="G78" i="2" s="1"/>
  <c r="G8" i="9" s="1"/>
  <c r="C78" i="2"/>
  <c r="F78" i="2" s="1"/>
  <c r="G8" i="8" s="1"/>
  <c r="C77" i="2"/>
  <c r="F77" i="2" s="1"/>
  <c r="G7" i="8" s="1"/>
  <c r="Q69" i="2"/>
  <c r="P69" i="2"/>
  <c r="H69" i="2"/>
  <c r="Q68" i="2"/>
  <c r="P68" i="2"/>
  <c r="H68" i="2"/>
  <c r="Q67" i="2"/>
  <c r="D84" i="2" s="1"/>
  <c r="G84" i="2" s="1"/>
  <c r="G14" i="9" s="1"/>
  <c r="P67" i="2"/>
  <c r="H67" i="2"/>
  <c r="Q66" i="2"/>
  <c r="P66" i="2"/>
  <c r="C84" i="2" s="1"/>
  <c r="F84" i="2" s="1"/>
  <c r="G14" i="8" s="1"/>
  <c r="H66" i="2"/>
  <c r="Q65" i="2"/>
  <c r="P65" i="2"/>
  <c r="H65" i="2"/>
  <c r="Q64" i="2"/>
  <c r="P64" i="2"/>
  <c r="H64" i="2"/>
  <c r="Q63" i="2"/>
  <c r="P63" i="2"/>
  <c r="H63" i="2"/>
  <c r="Q62" i="2"/>
  <c r="P62" i="2"/>
  <c r="C83" i="2" s="1"/>
  <c r="F83" i="2" s="1"/>
  <c r="G13" i="8" s="1"/>
  <c r="H62" i="2"/>
  <c r="Q61" i="2"/>
  <c r="P61" i="2"/>
  <c r="H61" i="2"/>
  <c r="Q60" i="2"/>
  <c r="P60" i="2"/>
  <c r="H60" i="2"/>
  <c r="Q59" i="2"/>
  <c r="P59" i="2"/>
  <c r="H59" i="2"/>
  <c r="Q58" i="2"/>
  <c r="P58" i="2"/>
  <c r="H58" i="2"/>
  <c r="Q57" i="2"/>
  <c r="P57" i="2"/>
  <c r="H57" i="2"/>
  <c r="Q56" i="2"/>
  <c r="P56" i="2"/>
  <c r="H56" i="2"/>
  <c r="Q55" i="2"/>
  <c r="D77" i="2" s="1"/>
  <c r="G77" i="2" s="1"/>
  <c r="G7" i="9" s="1"/>
  <c r="P55" i="2"/>
  <c r="H55" i="2"/>
  <c r="Q54" i="2"/>
  <c r="P54" i="2"/>
  <c r="C82" i="2" s="1"/>
  <c r="F82" i="2" s="1"/>
  <c r="G12" i="8" s="1"/>
  <c r="H54" i="2"/>
  <c r="Q53" i="2"/>
  <c r="P53" i="2"/>
  <c r="H53" i="2"/>
  <c r="Q52" i="2"/>
  <c r="P52" i="2"/>
  <c r="H52" i="2"/>
  <c r="Q51" i="2"/>
  <c r="P51" i="2"/>
  <c r="H51" i="2"/>
  <c r="Q50" i="2"/>
  <c r="P50" i="2"/>
  <c r="H50" i="2"/>
  <c r="Q49" i="2"/>
  <c r="P49" i="2"/>
  <c r="H49" i="2"/>
  <c r="Q48" i="2"/>
  <c r="P48" i="2"/>
  <c r="H48" i="2"/>
  <c r="Q47" i="2"/>
  <c r="D81" i="2" s="1"/>
  <c r="G81" i="2" s="1"/>
  <c r="G11" i="9" s="1"/>
  <c r="P47" i="2"/>
  <c r="C81" i="2" s="1"/>
  <c r="F81" i="2" s="1"/>
  <c r="G11" i="8" s="1"/>
  <c r="H47" i="2"/>
  <c r="Q46" i="2"/>
  <c r="P46" i="2"/>
  <c r="H46" i="2"/>
  <c r="Q45" i="2"/>
  <c r="P45" i="2"/>
  <c r="H45" i="2"/>
  <c r="Q44" i="2"/>
  <c r="P44" i="2"/>
  <c r="H44" i="2"/>
  <c r="Q43" i="2"/>
  <c r="P43" i="2"/>
  <c r="H43" i="2"/>
  <c r="Q42" i="2"/>
  <c r="P42" i="2"/>
  <c r="C80" i="2" s="1"/>
  <c r="F80" i="2" s="1"/>
  <c r="G10" i="8" s="1"/>
  <c r="H42" i="2"/>
  <c r="Q41" i="2"/>
  <c r="P41" i="2"/>
  <c r="H41" i="2"/>
  <c r="Q40" i="2"/>
  <c r="P40" i="2"/>
  <c r="H40" i="2"/>
  <c r="Q39" i="2"/>
  <c r="P39" i="2"/>
  <c r="H39" i="2"/>
  <c r="Q38" i="2"/>
  <c r="P38" i="2"/>
  <c r="C75" i="2" s="1"/>
  <c r="F75" i="2" s="1"/>
  <c r="G5" i="8" s="1"/>
  <c r="H38" i="2"/>
  <c r="Q37" i="2"/>
  <c r="P37" i="2"/>
  <c r="H37" i="2"/>
  <c r="Q36" i="2"/>
  <c r="D75" i="2" s="1"/>
  <c r="G75" i="2" s="1"/>
  <c r="G5" i="9" s="1"/>
  <c r="P36" i="2"/>
  <c r="H36" i="2"/>
  <c r="Q35" i="2"/>
  <c r="P35" i="2"/>
  <c r="H35" i="2"/>
  <c r="Q34" i="2"/>
  <c r="P34" i="2"/>
  <c r="H34" i="2"/>
  <c r="Q33" i="2"/>
  <c r="P33" i="2"/>
  <c r="H33" i="2"/>
  <c r="Q32" i="2"/>
  <c r="P32" i="2"/>
  <c r="H32" i="2"/>
  <c r="Q31" i="2"/>
  <c r="D76" i="2" s="1"/>
  <c r="G76" i="2" s="1"/>
  <c r="G6" i="9" s="1"/>
  <c r="P31" i="2"/>
  <c r="H31" i="2"/>
  <c r="Q30" i="2"/>
  <c r="P30" i="2"/>
  <c r="C76" i="2" s="1"/>
  <c r="F76" i="2" s="1"/>
  <c r="G6" i="8" s="1"/>
  <c r="H30" i="2"/>
  <c r="Q29" i="2"/>
  <c r="P29" i="2"/>
  <c r="H29" i="2"/>
  <c r="Q28" i="2"/>
  <c r="P28" i="2"/>
  <c r="H28" i="2"/>
  <c r="Q27" i="2"/>
  <c r="P27" i="2"/>
  <c r="H27" i="2"/>
  <c r="Q26" i="2"/>
  <c r="P26" i="2"/>
  <c r="H26" i="2"/>
  <c r="Q25" i="2"/>
  <c r="P25" i="2"/>
  <c r="H25" i="2"/>
  <c r="Q24" i="2"/>
  <c r="P24" i="2"/>
  <c r="H24" i="2"/>
  <c r="Q23" i="2"/>
  <c r="P23" i="2"/>
  <c r="H23" i="2"/>
  <c r="Q22" i="2"/>
  <c r="P22" i="2"/>
  <c r="H22" i="2"/>
  <c r="Q21" i="2"/>
  <c r="P21" i="2"/>
  <c r="H21" i="2"/>
  <c r="Q20" i="2"/>
  <c r="P20" i="2"/>
  <c r="H20" i="2"/>
  <c r="Q19" i="2"/>
  <c r="P19" i="2"/>
  <c r="H19" i="2"/>
  <c r="Q18" i="2"/>
  <c r="P18" i="2"/>
  <c r="H18" i="2"/>
  <c r="Q17" i="2"/>
  <c r="P17" i="2"/>
  <c r="H17" i="2"/>
  <c r="Q16" i="2"/>
  <c r="P16" i="2"/>
  <c r="H16" i="2"/>
  <c r="Q15" i="2"/>
  <c r="P15" i="2"/>
  <c r="H15" i="2"/>
  <c r="Q14" i="2"/>
  <c r="P14" i="2"/>
  <c r="H14" i="2"/>
  <c r="Q13" i="2"/>
  <c r="P13" i="2"/>
  <c r="H13" i="2"/>
  <c r="Q12" i="2"/>
  <c r="P12" i="2"/>
  <c r="H12" i="2"/>
  <c r="Q11" i="2"/>
  <c r="P11" i="2"/>
  <c r="H11" i="2"/>
  <c r="Q10" i="2"/>
  <c r="P10" i="2"/>
  <c r="H10" i="2"/>
  <c r="Q9" i="2"/>
  <c r="P9" i="2"/>
  <c r="H9" i="2"/>
  <c r="Q8" i="2"/>
  <c r="P8" i="2"/>
  <c r="H8" i="2"/>
  <c r="Q7" i="2"/>
  <c r="P7" i="2"/>
  <c r="H7" i="2"/>
  <c r="Q6" i="2"/>
  <c r="P6" i="2"/>
  <c r="C74" i="2" s="1"/>
  <c r="F74" i="2" s="1"/>
  <c r="G4" i="8" s="1"/>
  <c r="H6" i="2"/>
  <c r="Q5" i="2"/>
  <c r="P5" i="2"/>
  <c r="H5" i="2"/>
  <c r="Q4" i="2"/>
  <c r="D74" i="2" s="1"/>
  <c r="G74" i="2" s="1"/>
  <c r="G4" i="9" s="1"/>
  <c r="P4" i="2"/>
  <c r="H4" i="2"/>
</calcChain>
</file>

<file path=xl/sharedStrings.xml><?xml version="1.0" encoding="utf-8"?>
<sst xmlns="http://schemas.openxmlformats.org/spreadsheetml/2006/main" count="1092" uniqueCount="571">
  <si>
    <t>AI Pacing Economics Model — Input Data (v2, company-level)</t>
  </si>
  <si>
    <t>Edit any colored cell, save in Excel, then click "Reload Excel file" in AI Pacing Dashboard.html.</t>
  </si>
  <si>
    <t>COLOR CODE</t>
  </si>
  <si>
    <t xml:space="preserve">  Blue   = input you can edit (historical anchors are start-of-year: 2026 = Jan 1 2026).</t>
  </si>
  <si>
    <t xml:space="preserve">  Orange = projections (2027-29, SemiAnalysis-informed).</t>
  </si>
  <si>
    <t xml:space="preserve">  Green  = LIVE FORMULA fed from the Companies sheet — edit the company rows instead, and these update.</t>
  </si>
  <si>
    <t xml:space="preserve">  Gray   = blank on purpose; the dashboard extrapolates from the Parameters sheet. Type a number to override.</t>
  </si>
  <si>
    <t xml:space="preserve">  On Parameters: VALUE is what the dashboard uses; the orange Bullish/Normal/Bearish columns (where present)</t>
  </si>
  <si>
    <t xml:space="preserve">  are the scenario sets applied by the dashboard's preset dropdown.</t>
  </si>
  <si>
    <t>NEW: THE COMPANIES SHEET</t>
  </si>
  <si>
    <t xml:space="preserve">  One row per company (or 'Rest of…' aggregate) with CURRENT (mid-Aug 2026) verified figures:</t>
  </si>
  <si>
    <t xml:space="preserve">  market cap, total debt, cash, EV (=cap+debt−cash), 2026E capex, AI ARR, ARR growth, % of revenue</t>
  </si>
  <si>
    <t xml:space="preserve">  from AI, % of EV attributable to AI, and % of EV attributable to AI capabilities BEYOND the 2026</t>
  </si>
  <si>
    <t xml:space="preserve">  frontier. The last two are judgment calls — they are the numbers to argue with.</t>
  </si>
  <si>
    <t xml:space="preserve">  AI-attributed market cap = cap × %EV-AI − cross-holdings (cross-holdings netted so MSFT's OpenAI</t>
  </si>
  <si>
    <t xml:space="preserve">  stake etc. aren't double-counted against the lab rows).</t>
  </si>
  <si>
    <t xml:space="preserve">  A ROLL-UP block at the bottom SUMIFS these into sector × country-block totals (current), then</t>
  </si>
  <si>
    <t xml:space="preserve">  scales back by an editable H1-2026 return to get the Jan-2026 anchors that feed Sector_MarketCap</t>
  </si>
  <si>
    <t xml:space="preserve">  and Sector_Debt (green cells). It also derives suggested θ per sector (future-AI share of AI value),</t>
  </si>
  <si>
    <t xml:space="preserve">  which is what the Parameters θ defaults are set to.</t>
  </si>
  <si>
    <t xml:space="preserve">  Editing flow: change a company row → Excel recalcs the roll-up and green cells → save → reload in</t>
  </si>
  <si>
    <t xml:space="preserve">  the dashboard. (The dashboard reads the numbers Excel computed.)</t>
  </si>
  <si>
    <t>WHAT CHANGED vs v1 (per review of AI_priced-in_model_v1.xlsx + fresh verification, Aug 15 2026)</t>
  </si>
  <si>
    <t xml:space="preserve">  • PhysicalCompute was UNDERESTIMATED: AI fractions raised (TSMC 30→55%, Broadcom 45→60%, memory up),</t>
  </si>
  <si>
    <t xml:space="preserve">    and hyperscalers (MSFT/GOOGL/AMZN/META/ORCL compute-owner slices), equipment, networking/optics,</t>
  </si>
  <si>
    <t xml:space="preserve">    servers, and power are now explicitly included. World PhysicalCompute AI value: ~$15T current.</t>
  </si>
  <si>
    <t xml:space="preserve">  • AICompanies now = labs only (hyperscaler AI value sits in their compute-owner rows).</t>
  </si>
  <si>
    <t xml:space="preserve">  • AIDeployers rebuilt bottom-up (PLTR/CRM/NOW + aggregates) — smaller than v1's top-down residual.</t>
  </si>
  <si>
    <t xml:space="preserve">  • NonPhysicalInputs revised down (~$100B world, was ~$200B).</t>
  </si>
  <si>
    <t xml:space="preserve">  • Debt corrected from filings (CoreWeave $51.6B at Q2-26, Oracle $167B, hyperscaler issuance).</t>
  </si>
  <si>
    <t xml:space="preserve">  • World AI-attributed market value: ~$19T current / ~$14.4T at Jan-2026 (was $15T flat anchor).</t>
  </si>
  <si>
    <t xml:space="preserve">    Within your Economic-impacts doc's $10-25T 80% CI.</t>
  </si>
  <si>
    <t>CONVENTIONS (unchanged)</t>
  </si>
  <si>
    <t xml:space="preserve">  Blocks USA/CHN/ROW; actors PhysicalCompute, NonPhysicalInputs, AICompanies, AIDeployers, NonAI</t>
  </si>
  <si>
    <t xml:space="preserve">  (NonAI = W − ΣAI, computed). $B nominal; compute in M H100e; Z in ECI points. Keys in col A are</t>
  </si>
  <si>
    <t xml:space="preserve">  what the dashboard parses — don't rename them.</t>
  </si>
  <si>
    <t>Sources: stockanalysis.com (Aug 14-15 2026), companiesmarketcap, filings/press (CNBC, Bloomberg,</t>
  </si>
  <si>
    <t>SCMP, Fortune), IMF WEO Apr-26, World Bank, FRED/Fed Z.1, Epoch AI, SemiAnalysis, your prior models.</t>
  </si>
  <si>
    <t>Companies — current (mid-Aug 2026) verified figures + AI attribution judgments. Feeds the roll-up below → Sector sheets.</t>
  </si>
  <si>
    <t>Company</t>
  </si>
  <si>
    <t>Ticker</t>
  </si>
  <si>
    <t>Sector</t>
  </si>
  <si>
    <t>Block</t>
  </si>
  <si>
    <t>Mkt cap ($B)</t>
  </si>
  <si>
    <t>Total debt ($B)</t>
  </si>
  <si>
    <t>Cash ($B)</t>
  </si>
  <si>
    <t>EV ($B)</t>
  </si>
  <si>
    <t>CapEx 2026E ($B)</t>
  </si>
  <si>
    <t>AI ARR ($B)</t>
  </si>
  <si>
    <t>ARR growth (YoY)</t>
  </si>
  <si>
    <t>AI % of revenue</t>
  </si>
  <si>
    <t>AI % of EV</t>
  </si>
  <si>
    <t>% of EV from &gt;2026 AI</t>
  </si>
  <si>
    <t>Cross-holdings ($B)</t>
  </si>
  <si>
    <t>AI-attrib mkt cap ($B)</t>
  </si>
  <si>
    <t>AI-attrib debt ($B)</t>
  </si>
  <si>
    <t>Notes &amp; sources</t>
  </si>
  <si>
    <t>NVIDIA</t>
  </si>
  <si>
    <t>NVDA</t>
  </si>
  <si>
    <t>PhysicalCompute</t>
  </si>
  <si>
    <t>USA</t>
  </si>
  <si>
    <t>Cap/debt/cash SA Aug-15-26. DC run-rate ~$300B/yr (Q1FY27 $75.2B, +92% YoY, 92% of rev). Cross-holdings: stakes in OpenAI/xAI/SSI/neoclouds ~$80B.</t>
  </si>
  <si>
    <t>Broadcom</t>
  </si>
  <si>
    <t>AVGO</t>
  </si>
  <si>
    <t>SA Aug-15 (fell 5.9% Aug-14). AI semi FY26 guide $56B (+180% YoY) ≈ half of revenue; VMware/legacy dilute.</t>
  </si>
  <si>
    <t>AMD</t>
  </si>
  <si>
    <t>SA Aug-15. MI400/OpenAI ramp; client/gaming still ~40% of rev.</t>
  </si>
  <si>
    <t>Marvell + rest of AI chip design</t>
  </si>
  <si>
    <t>MRVL+agg</t>
  </si>
  <si>
    <t>Marvell ~$150B + Astera/Credo/etc. Custom AI silicon &amp; interconnect. ESTIMATE agg.</t>
  </si>
  <si>
    <t>Arista Networks</t>
  </si>
  <si>
    <t>ANET</t>
  </si>
  <si>
    <t>SA Aug-15. AI datacenter switching.</t>
  </si>
  <si>
    <t>Optics/interconnect agg (Coherent, Lumentum, Ciena, Celestica…)</t>
  </si>
  <si>
    <t>agg</t>
  </si>
  <si>
    <t>AI optics boom. ESTIMATE agg.</t>
  </si>
  <si>
    <t>AI servers agg (Dell, HPE, SMCI slices)</t>
  </si>
  <si>
    <t>Dell up ~4x on AI servers; PCs/storage dilute. ESTIMATE agg.</t>
  </si>
  <si>
    <t>Micron</t>
  </si>
  <si>
    <t>MU</t>
  </si>
  <si>
    <t>SA Aug-15 ($1.10T; +682% y/y). HBM sold out through 2026; capex TTM $25.3B.</t>
  </si>
  <si>
    <t>Intel</t>
  </si>
  <si>
    <t>INTC</t>
  </si>
  <si>
    <t>SA Aug-15 (+361% y/y on foundry/AI turnaround hopes); core is still PC/server CPUs.</t>
  </si>
  <si>
    <t>Applied Materials</t>
  </si>
  <si>
    <t>AMAT</t>
  </si>
  <si>
    <t>SA Aug-15. Leading-edge demand AI-led but serves all chipmaking.</t>
  </si>
  <si>
    <t>Lam Research</t>
  </si>
  <si>
    <t>LRCX</t>
  </si>
  <si>
    <t>SA Aug-15 ($416B — prior $270B/$490B both wrong).</t>
  </si>
  <si>
    <t>KLA</t>
  </si>
  <si>
    <t>KLAC</t>
  </si>
  <si>
    <t>SA Aug-15 (10:1 split Jun-26).</t>
  </si>
  <si>
    <t>Microsoft</t>
  </si>
  <si>
    <t>MSFT</t>
  </si>
  <si>
    <t>SA Aug-15. AI run-rate $37B; Azure ARR &gt;$100B (+43%). FY27 capex guide ~$255B (TTM $116B). Cross-holding: ~27% OpenAI ≈ $230B — netted to avoid double count with OpenAI row.</t>
  </si>
  <si>
    <t>Alphabet</t>
  </si>
  <si>
    <t>GOOGL</t>
  </si>
  <si>
    <t>SA Aug-15. Cloud run-rate ~$99B/yr (+82%). Includes TPU/DeepMind/Gemini value. Cross: ~14% Anthropic ≈ $135B netted.</t>
  </si>
  <si>
    <t>Amazon</t>
  </si>
  <si>
    <t>AMZN</t>
  </si>
  <si>
    <t>SA Aug-15. AWS run-rate ~$169B (+37%, accelerating); Trainium. Cross: Anthropic stake ≈ $150B netted.</t>
  </si>
  <si>
    <t>Meta</t>
  </si>
  <si>
    <t>META</t>
  </si>
  <si>
    <t>SA Aug-15. No external AI revenue; ads uplift + Llama/Muse; capex guide $115-139B.</t>
  </si>
  <si>
    <t>Oracle</t>
  </si>
  <si>
    <t>ORCL</t>
  </si>
  <si>
    <t>SA Aug-15 (-38% over 52wk). OCI AI backlog; debt $167B, FCF deeply negative.</t>
  </si>
  <si>
    <t>CoreWeave</t>
  </si>
  <si>
    <t>CRWV</t>
  </si>
  <si>
    <t>SA Aug-15. Debt $51.6B at Q2-26 (reported Aug-11; jumped from $35B) — EV ~$104B. 2026E rev ~$19B.</t>
  </si>
  <si>
    <t>Nebius</t>
  </si>
  <si>
    <t>NBIS</t>
  </si>
  <si>
    <t>SA Aug-15. Neocloud; Microsoft offtake.</t>
  </si>
  <si>
    <t>Rest of neoclouds (Lambda, Crusoe, Together…)</t>
  </si>
  <si>
    <t>Private neoclouds. ESTIMATE agg.</t>
  </si>
  <si>
    <t>Constellation Energy</t>
  </si>
  <si>
    <t>CEG</t>
  </si>
  <si>
    <t>SA Aug-15. Nuclear PPAs for AI DCs (MSFT/META).</t>
  </si>
  <si>
    <t>Vistra</t>
  </si>
  <si>
    <t>VST</t>
  </si>
  <si>
    <t>SA Aug-15.</t>
  </si>
  <si>
    <t>GE Vernova</t>
  </si>
  <si>
    <t>GEV</t>
  </si>
  <si>
    <t>SA Aug-15 ($283B — above both priors). Gas turbines/grid for DCs.</t>
  </si>
  <si>
    <t>Vertiv</t>
  </si>
  <si>
    <t>VRT</t>
  </si>
  <si>
    <t>SA Aug-15. DC power/cooling.</t>
  </si>
  <si>
    <t>Rest of power/cooling/DC REITs (Eaton, Schneider, DLR, EQIX slices)</t>
  </si>
  <si>
    <t>AI-relevant slices only. ESTIMATE agg.</t>
  </si>
  <si>
    <t>TSMC</t>
  </si>
  <si>
    <t>TSM</t>
  </si>
  <si>
    <t>ROW</t>
  </si>
  <si>
    <t>ADR-basis cap ~$2.2T (TWSE $1.94T) SA/CMC Aug-15. AI accelerators + HPC ≈ majority of growth; phones/auto dilute. Capex TTM $46.6B.</t>
  </si>
  <si>
    <t>SK Hynix</t>
  </si>
  <si>
    <t>000660.KS</t>
  </si>
  <si>
    <t>CMC Aug-15 (corrected ~30% off Jul peak). HBM leader; US F-1 filed.</t>
  </si>
  <si>
    <t>Samsung Electronics</t>
  </si>
  <si>
    <t>005930.KS</t>
  </si>
  <si>
    <t>CMC Aug-15. HBM re-rating; phones/appliances/display dilute.</t>
  </si>
  <si>
    <t>ASML</t>
  </si>
  <si>
    <t>SA Aug-15. EUV demand AI-led but serves all leading-edge.</t>
  </si>
  <si>
    <t>Tokyo Electron</t>
  </si>
  <si>
    <t>8035.T</t>
  </si>
  <si>
    <t>CMC Aug-15.</t>
  </si>
  <si>
    <t>Rest of SME (ASM Intl, Disco, Advantest…)</t>
  </si>
  <si>
    <t>ESTIMATE agg.</t>
  </si>
  <si>
    <t>Rest of foundry (GF, UMC, Rapidus…)</t>
  </si>
  <si>
    <t>Mostly trailing-edge. ESTIMATE agg.</t>
  </si>
  <si>
    <t>Cambricon</t>
  </si>
  <si>
    <t>688256.SS</t>
  </si>
  <si>
    <t>CHN</t>
  </si>
  <si>
    <t>¥1T+ Jun-26, +77% YTD. Domestic AI accelerator champion.</t>
  </si>
  <si>
    <t>Hygon</t>
  </si>
  <si>
    <t>688041.SS</t>
  </si>
  <si>
    <t>Domestic CPUs/DCUs; +67% YTD.</t>
  </si>
  <si>
    <t>SMIC</t>
  </si>
  <si>
    <t>0981.HK</t>
  </si>
  <si>
    <t>N+2 7nm AI chips; mostly trailing-edge.</t>
  </si>
  <si>
    <t>Huawei AI slice (private, memo)</t>
  </si>
  <si>
    <t>—</t>
  </si>
  <si>
    <t>Ascend 910B/C ~0.5-0.6M H100e/yr (Epoch). Value ESTIMATE — not market-priced.</t>
  </si>
  <si>
    <t>Rest of China AI compute (Montage, power, DCs…)</t>
  </si>
  <si>
    <t>OpenAI</t>
  </si>
  <si>
    <t>private</t>
  </si>
  <si>
    <t>AICompanies</t>
  </si>
  <si>
    <t>$852B: Mar-26 round + Aug-10-26 $7B tender at same price (CNBC). ARR &gt;$40B net (Bloomberg Aug-13). S-1 filed Jun-26.</t>
  </si>
  <si>
    <t>Anthropic</t>
  </si>
  <si>
    <t>$965B Series H May-26. ARR $47B+ (was ~$9B end-25). S-1 filed Jun-1-26.</t>
  </si>
  <si>
    <t>xAI</t>
  </si>
  <si>
    <t>$230B Series E Jan-26 (NVIDIA-led); secondaries ~$250B.</t>
  </si>
  <si>
    <t>Safe Superintelligence</t>
  </si>
  <si>
    <t>$32B Apr-25; +$5B NVIDIA investment Jul-26. No product.</t>
  </si>
  <si>
    <t>Perplexity</t>
  </si>
  <si>
    <t>ESTIMATE ~$20B.</t>
  </si>
  <si>
    <t>Rest of US AI-native (Cursor, Cognition, Harvey…)</t>
  </si>
  <si>
    <t>Coding/agent startups; Cursor et al +$6B ARR (SemiAnalysis). ESTIMATE agg.</t>
  </si>
  <si>
    <t>DeepSeek</t>
  </si>
  <si>
    <t>First round Jun-26 $7.4B at &gt;$50B; seeking $71B pre-IPO.</t>
  </si>
  <si>
    <t>Zhipu / Z.ai</t>
  </si>
  <si>
    <t>2513.HK</t>
  </si>
  <si>
    <t>HK$1T ≈ $128B peak Jun-26; ~$100-130B now (+1,500% since Jan IPO). Frenzy-sensitive.</t>
  </si>
  <si>
    <t>Moonshot AI</t>
  </si>
  <si>
    <t>$20B May-26 round; raising at $31.5B pre-money; Kimi K3 = open-weights record.</t>
  </si>
  <si>
    <t>MiniMax</t>
  </si>
  <si>
    <t>1919.HK</t>
  </si>
  <si>
    <t>HK-listed Jan-26; ~$33B Aug-26.</t>
  </si>
  <si>
    <t>Rest of China labs</t>
  </si>
  <si>
    <t>Mistral</t>
  </si>
  <si>
    <t>$20B Jun-26 (Samsung-linked round).</t>
  </si>
  <si>
    <t>Cohere</t>
  </si>
  <si>
    <t>ESTIMATE.</t>
  </si>
  <si>
    <t>Rest of RoW labs (AI21, Sakana, sovereigns…)</t>
  </si>
  <si>
    <t>Scale AI</t>
  </si>
  <si>
    <t>NonPhysicalInputs</t>
  </si>
  <si>
    <t>Frozen at Meta-deal mark Jun-25; lost OpenAI/Google post-deal.</t>
  </si>
  <si>
    <t>Surge AI</t>
  </si>
  <si>
    <t>~$25-30B (late-25 raise).</t>
  </si>
  <si>
    <t>Mercor</t>
  </si>
  <si>
    <t>$10B Sep-25; talks at $20B Jul-26; ARR &gt;$2B.</t>
  </si>
  <si>
    <t>Reddit (data licensing slice)</t>
  </si>
  <si>
    <t>RDDT</t>
  </si>
  <si>
    <t>SA Aug-15. Only the AI-data-licensing slice counts.</t>
  </si>
  <si>
    <t>Rest of US data/eval/talent</t>
  </si>
  <si>
    <t>China data/labeling agg</t>
  </si>
  <si>
    <t>RoW data/labeling agg</t>
  </si>
  <si>
    <t>Palantir</t>
  </si>
  <si>
    <t>PLTR</t>
  </si>
  <si>
    <t>AIDeployers</t>
  </si>
  <si>
    <t>SA Aug-15 ($418B — recovered, not $295B). AIP is the growth engine.</t>
  </si>
  <si>
    <t>Salesforce</t>
  </si>
  <si>
    <t>CRM</t>
  </si>
  <si>
    <t>SA Aug-15. Agentforce; core CRM dilutes (and AI-disruption discount).</t>
  </si>
  <si>
    <t>ServiceNow</t>
  </si>
  <si>
    <t>NOW</t>
  </si>
  <si>
    <t>SA Aug-15 (5:1 split Dec-25).</t>
  </si>
  <si>
    <t>Rest of listed US deployers (agg)</t>
  </si>
  <si>
    <t>AI-attributable slices across S&amp;P (software, fintech, healthcare, industrials). Softest number in sheet — ESTIMATE.</t>
  </si>
  <si>
    <t>Alibaba (cloud+Qwen+adoption)</t>
  </si>
  <si>
    <t>BABA</t>
  </si>
  <si>
    <t>CMC Aug-15. Blended cloud/model/deployer role.</t>
  </si>
  <si>
    <t>Tencent (AI slice)</t>
  </si>
  <si>
    <t>0700.HK</t>
  </si>
  <si>
    <t>Rest of China deployers</t>
  </si>
  <si>
    <t>Listed RoW deployers (SAP, Shopify, sovereign telcos…)</t>
  </si>
  <si>
    <t>ROLL-UP → feeds the green 2026 cells in Sector_MarketCap / Sector_Debt</t>
  </si>
  <si>
    <t>H1-2026 AI debt growth (scale-back):</t>
  </si>
  <si>
    <t>AI mkt cap NOW ($B)</t>
  </si>
  <si>
    <t>AI debt NOW ($B)</t>
  </si>
  <si>
    <t>H1-2026 return</t>
  </si>
  <si>
    <t>Implied M @ 2026.0 ($B)</t>
  </si>
  <si>
    <t>Implied D @ 2026.0 ($B)</t>
  </si>
  <si>
    <t>Derived θ per sector = Σ(cap × %EV&gt;2026-AI) ÷ Σ(cap × %EV-AI)  → used as the Parameters θ defaults</t>
  </si>
  <si>
    <t>(python-computed: 65%)</t>
  </si>
  <si>
    <t>(python-computed: 70%)</t>
  </si>
  <si>
    <t>(python-computed: 85%)</t>
  </si>
  <si>
    <t>(python-computed: 58%)</t>
  </si>
  <si>
    <t>Y — Nominal GDP by country-block ($B).</t>
  </si>
  <si>
    <t>Key</t>
  </si>
  <si>
    <t>Series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</si>
  <si>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</si>
  <si>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</si>
  <si>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</si>
  <si>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</si>
  <si>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</si>
  <si>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</si>
  <si>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</si>
  <si>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</si>
  <si>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</si>
  <si>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</si>
  <si>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</si>
  <si>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</si>
  <si>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</si>
  <si>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</si>
  <si>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Units</t>
  </si>
  <si>
    <t>Source / Assumption</t>
  </si>
  <si>
    <t>Y|USA</t>
  </si>
  <si>
    <t>GDP, USA ($B)</t>
  </si>
  <si>
    <t>$B/yr</t>
  </si>
  <si>
    <t>IMF WEO Apr-2026 (Datamapper API NGDPD). 2025 = IMF estimate; 2027-31 = IMF projections.</t>
  </si>
  <si>
    <t>Y|CHN</t>
  </si>
  <si>
    <t>GDP, China ($B)</t>
  </si>
  <si>
    <t>IMF WEO Apr-2026, same source.</t>
  </si>
  <si>
    <t>Y|ROW</t>
  </si>
  <si>
    <t>GDP, Rest of World ($B)</t>
  </si>
  <si>
    <t>IMF WEO Apr-2026: World minus USA minus China (computed).</t>
  </si>
  <si>
    <t>W — Aggregate stock market capitalization ($B), value at START of year (Jan 1).</t>
  </si>
  <si>
    <t>W|USA</t>
  </si>
  <si>
    <t>Total US equity market cap ($B)</t>
  </si>
  <si>
    <t>$B</t>
  </si>
  <si>
    <t>Siblis Research / World Bank WDI (end of prior year). 2022.0 ESTIMATE ~$53T. Mid-2026 ≈ $75T for reference.</t>
  </si>
  <si>
    <t>W|CHN</t>
  </si>
  <si>
    <t>China (mainland A-share) market cap ($B)</t>
  </si>
  <si>
    <t>World Bank WDI. Excludes HK-listed Chinese cos (~+$5-6T if included). Mid-2026 A-shares ≈ $16.6-17T.</t>
  </si>
  <si>
    <t>W|ROW</t>
  </si>
  <si>
    <t>Rest of World market cap ($B)</t>
  </si>
  <si>
    <t>World Bank WDI world total minus USA minus China. 2022.0 ESTIMATE.</t>
  </si>
  <si>
    <t>C — Installed AI compute stock (M H100-equivalents), START of year. γ = H100e rental rate.</t>
  </si>
  <si>
    <t>C|USA</t>
  </si>
  <si>
    <t>AI compute stock, USA (M H100e)</t>
  </si>
  <si>
    <t>M H100e</t>
  </si>
  <si>
    <t>Epoch AI chip-sales (cumulative sold ≈20M world at Jan-26; operational 12-16M) × ~75% US share. 2027-29 = SemiAnalysis/Plan-A-informed Normal path.</t>
  </si>
  <si>
    <t>C|CHN</t>
  </si>
  <si>
    <t>AI compute stock, China (M H100e)</t>
  </si>
  <si>
    <t>China ≈13% of world declining to ~10% by 2029 (Epoch, AI-2027 tracker, Plan A). ESTIMATE.</t>
  </si>
  <si>
    <t>C|ROW</t>
  </si>
  <si>
    <t>AI compute stock, RoW (M H100e)</t>
  </si>
  <si>
    <t>Residual; share rises ~12→15% on Gulf/EU builds. ESTIMATE.</t>
  </si>
  <si>
    <t>gamma</t>
  </si>
  <si>
    <t>GPU rental rate γ ($/hr per H100e)</t>
  </si>
  <si>
    <t>$/hr</t>
  </si>
  <si>
    <t>Blended neocloud/marketplace H100 rates (Silicon Data index; SemiAnalysis 'Great GPU Shortage'). $1.80 default 2027+ per your pause econ model.</t>
  </si>
  <si>
    <t>Z — AI capability level (Epoch Capabilities Index, ECI points), best model, START of year.</t>
  </si>
  <si>
    <t>Z|USA</t>
  </si>
  <si>
    <t>Best US model ECI</t>
  </si>
  <si>
    <t>ECI pts</t>
  </si>
  <si>
    <t>Epoch ECI: GPT-4 =125.8, o1 =142.3 (Dec-24), Gemini 3 Pro =154 (Dec-25) → 155 at 2026.0 (spec calibration). Mid-26: GPT-5.5 Pro =161. 2022.0 ESTIMATE.</t>
  </si>
  <si>
    <t>Z|CHN</t>
  </si>
  <si>
    <t>Best China model ECI</t>
  </si>
  <si>
    <t>Epoch: Yi-34B =117.3 (end-23), DeepSeek-V3 =136.5 (Dec-24), Kimi K2 =145.1 (Nov-25) → 148 (spec). Mid-26: Kimi K3 =156. Lag ≈7 months avg.</t>
  </si>
  <si>
    <t>Z|ROW</t>
  </si>
  <si>
    <t>Best RoW model ECI</t>
  </si>
  <si>
    <t>Model spec sets Z_RoW = Z_China.</t>
  </si>
  <si>
    <t>X — Worldwide AI investment/capex flow ($B during year) = X_BAU.</t>
  </si>
  <si>
    <t>X|WORLD</t>
  </si>
  <si>
    <t>AI capex, world ($B/yr)</t>
  </si>
  <si>
    <t>2022-25 per your pause econ model; 2026 ~$1T (Dell'Oro/Epoch; top-5 guides ~$750B — see Companies capex column: raw 2026E capex of listed cos ≈ $1.1T all-purpose, AI share ~2/3). 2027-29 Normal +60/50/33%; SemiAnalysis cum 24-29 ≈$11.1T. Bullish preset ≈ your hotter path.</t>
  </si>
  <si>
    <t>M — AI-specific market cap by actor × block ($B), START of year. GREEN 2026 = live from Companies. NonAI = W − Σ(these).</t>
  </si>
  <si>
    <t>M|PhysicalCompute|USA</t>
  </si>
  <si>
    <t>PhysicalCompute, USA</t>
  </si>
  <si>
    <t>2022-25: ESTIMATE — same company set as Companies sheet, historical caps × time-varying AI fractions. 2026 (green) = LIVE from Companies roll-up: Σ(cap × %EV-AI − cross-holdings) ÷ (1 + H1-2026 return). Edit companies, not this cell.</t>
  </si>
  <si>
    <t>M|PhysicalCompute|CHN</t>
  </si>
  <si>
    <t>PhysicalCompute, China</t>
  </si>
  <si>
    <t>M|PhysicalCompute|ROW</t>
  </si>
  <si>
    <t>PhysicalCompute, RoW</t>
  </si>
  <si>
    <t>M|NonPhysicalInputs|USA</t>
  </si>
  <si>
    <t>NonPhysicalInputs, USA</t>
  </si>
  <si>
    <t>M|NonPhysicalInputs|CHN</t>
  </si>
  <si>
    <t>NonPhysicalInputs, China</t>
  </si>
  <si>
    <t>M|NonPhysicalInputs|ROW</t>
  </si>
  <si>
    <t>NonPhysicalInputs, RoW</t>
  </si>
  <si>
    <t>M|AICompanies|USA</t>
  </si>
  <si>
    <t>AICompanies, USA</t>
  </si>
  <si>
    <t>M|AICompanies|CHN</t>
  </si>
  <si>
    <t>AICompanies, China</t>
  </si>
  <si>
    <t>M|AICompanies|ROW</t>
  </si>
  <si>
    <t>AICompanies, RoW</t>
  </si>
  <si>
    <t>M|AIDeployers|USA</t>
  </si>
  <si>
    <t>AIDeployers, USA</t>
  </si>
  <si>
    <t>M|AIDeployers|CHN</t>
  </si>
  <si>
    <t>AIDeployers, China</t>
  </si>
  <si>
    <t>M|AIDeployers|ROW</t>
  </si>
  <si>
    <t>AIDeployers, RoW</t>
  </si>
  <si>
    <t>D — AI-attributable debt by actor × block ($B), START of year. GREEN 2026 = live from Companies.</t>
  </si>
  <si>
    <t>D|PhysicalCompute|USA</t>
  </si>
  <si>
    <t>2022-25: ESTIMATE — scaled from the 2026 anchor (ratios 2/4.5/14/40%), consistent with BofA $121B hyperscaler bonds 2025, Morgan Stanley ~$570B AI issuance 2026, SemiAnalysis &gt;$7T by 2029. 2026 (green) = LIVE from Companies roll-up: Σ(debt × %EV-AI) ÷ (1 + H1 debt growth).</t>
  </si>
  <si>
    <t>D|PhysicalCompute|CHN</t>
  </si>
  <si>
    <t>D|PhysicalCompute|ROW</t>
  </si>
  <si>
    <t>D|NonPhysicalInputs|USA</t>
  </si>
  <si>
    <t>D|NonPhysicalInputs|CHN</t>
  </si>
  <si>
    <t>D|NonPhysicalInputs|ROW</t>
  </si>
  <si>
    <t>D|AICompanies|USA</t>
  </si>
  <si>
    <t>D|AICompanies|CHN</t>
  </si>
  <si>
    <t>D|AICompanies|ROW</t>
  </si>
  <si>
    <t>D|AIDeployers|USA</t>
  </si>
  <si>
    <t>D|AIDeployers|CHN</t>
  </si>
  <si>
    <t>D|AIDeployers|ROW</t>
  </si>
  <si>
    <t>c — Cash on hand by actor × block ($B), START of year. Used only in E = M + D − c.</t>
  </si>
  <si>
    <t>c|PhysicalCompute|USA</t>
  </si>
  <si>
    <t>AI-slice cash = Σ(cash × %EV-AI) from Companies × 0.8 scale-back for 2026.0; history scaled 5/8/20/50%. Used only in E = M + D − c. ESTIMATE.</t>
  </si>
  <si>
    <t>c|PhysicalCompute|CHN</t>
  </si>
  <si>
    <t>c|PhysicalCompute|ROW</t>
  </si>
  <si>
    <t>c|NonPhysicalInputs|USA</t>
  </si>
  <si>
    <t>c|NonPhysicalInputs|CHN</t>
  </si>
  <si>
    <t>c|NonPhysicalInputs|ROW</t>
  </si>
  <si>
    <t>c|AICompanies|USA</t>
  </si>
  <si>
    <t>c|AICompanies|CHN</t>
  </si>
  <si>
    <t>c|AICompanies|ROW</t>
  </si>
  <si>
    <t>c|AIDeployers|USA</t>
  </si>
  <si>
    <t>c|AIDeployers|CHN</t>
  </si>
  <si>
    <t>c|AIDeployers|ROW</t>
  </si>
  <si>
    <t>Parameters &amp; assumptions. VALUE = what the dashboard uses. Rows with Bullish/Normal/Bearish entries vary by scenario — the dashboard's preset dropdown overwrites those fields from these columns (Value column stays your hand-set default). θ values derived from Companies sheet.</t>
  </si>
  <si>
    <t>Value</t>
  </si>
  <si>
    <t>Bullish (high growth)</t>
  </si>
  <si>
    <t>Normal (expected)</t>
  </si>
  <si>
    <t>Bearish (low/crash)</t>
  </si>
  <si>
    <t>Description</t>
  </si>
  <si>
    <t>r_f</t>
  </si>
  <si>
    <t>%/yr</t>
  </si>
  <si>
    <t>Risk-free interest rate r_t (10Y UST)</t>
  </si>
  <si>
    <t>FRED GS10: 2025 avg 4.29%, Jul-2026 4.60%.</t>
  </si>
  <si>
    <t>mu</t>
  </si>
  <si>
    <t>pp</t>
  </si>
  <si>
    <t>Spread over r_f that AI companies pay (μ); r_μ = r_f + μ</t>
  </si>
  <si>
    <t>Model spec ~5pp. Your pause econ model used 8% all-in. SemiAnalysis: backstopped neocloud debt ~5.9%, unsecured ~10%.</t>
  </si>
  <si>
    <t>g_y0|USA</t>
  </si>
  <si>
    <t>Baseline non-AI GDP growth, USA</t>
  </si>
  <si>
    <t>Model spec default 1.5%. IMF long-run US real 1.8%.</t>
  </si>
  <si>
    <t>g_y0|CHN</t>
  </si>
  <si>
    <t>Baseline non-AI GDP growth, China</t>
  </si>
  <si>
    <t>IMF: 4.4% (2026) → 3.3% (2031).</t>
  </si>
  <si>
    <t>g_y0|ROW</t>
  </si>
  <si>
    <t>Baseline non-AI GDP growth, RoW</t>
  </si>
  <si>
    <t>IMF-implied. ESTIMATE.</t>
  </si>
  <si>
    <t>psi</t>
  </si>
  <si>
    <t>%</t>
  </si>
  <si>
    <t>ψ: share of compute going to training+R&amp;D normally</t>
  </si>
  <si>
    <t>Model spec ~50%. Epoch: 45-50% (2024) → ~30-35% (mid-26).</t>
  </si>
  <si>
    <t>h</t>
  </si>
  <si>
    <t>0-1</t>
  </si>
  <si>
    <t>'Policy priced in already'</t>
  </si>
  <si>
    <t>Default 0 (surprise).</t>
  </si>
  <si>
    <t>theta|PhysicalCompute</t>
  </si>
  <si>
    <t>θ: share of EV from post-2026 AI capability gains</t>
  </si>
  <si>
    <t>DERIVED from Companies sheet: Σ(cap × %EV&gt;2026-AI)/Σ(cap × %EV-AI). Edit company rows to change.</t>
  </si>
  <si>
    <t>theta|NonPhysicalInputs</t>
  </si>
  <si>
    <t>θ for NonPhysicalInputs</t>
  </si>
  <si>
    <t>Derived from Companies sheet.</t>
  </si>
  <si>
    <t>theta|AICompanies</t>
  </si>
  <si>
    <t>θ for AICompanies</t>
  </si>
  <si>
    <t>Derived from Companies sheet (labs ≈ all future-capability value).</t>
  </si>
  <si>
    <t>theta|AIDeployers</t>
  </si>
  <si>
    <t>θ for AIDeployers</t>
  </si>
  <si>
    <t>theta|NonAI</t>
  </si>
  <si>
    <t>θ for NonAI</t>
  </si>
  <si>
    <t>By construction 0.</t>
  </si>
  <si>
    <t>eta</t>
  </si>
  <si>
    <t>η: Chinese distillation factor</t>
  </si>
  <si>
    <t>Model spec default 0.7.</t>
  </si>
  <si>
    <t>a2</t>
  </si>
  <si>
    <t>/yr</t>
  </si>
  <si>
    <t>a₂: distillation speed</t>
  </si>
  <si>
    <t>Calibrated: steady-state gap g_z/a2 = 7.5 pts ≈ 6-7 months (Epoch's observed lag).</t>
  </si>
  <si>
    <t>g_z</t>
  </si>
  <si>
    <t>ECI pts/yr</t>
  </si>
  <si>
    <t>BAU frontier capability growth after 2026</t>
  </si>
  <si>
    <t>Epoch: ~15.5 pts/yr since Apr-2024.</t>
  </si>
  <si>
    <t>g_z_2026</t>
  </si>
  <si>
    <t>dZ/dt at 2026.0 (Q-model calibration)</t>
  </si>
  <si>
    <t>Model spec.</t>
  </si>
  <si>
    <t>Z_2026|USA</t>
  </si>
  <si>
    <t>Z calibration, USA 2026.0</t>
  </si>
  <si>
    <t>Z_2026|CHN</t>
  </si>
  <si>
    <t>Z calibration, China 2026.0</t>
  </si>
  <si>
    <t>m</t>
  </si>
  <si>
    <t>×</t>
  </si>
  <si>
    <t>Investment demand multiplier</t>
  </si>
  <si>
    <t>CBO range 0.5-2.5; MPT ≈1.2. ASSUMPTION.</t>
  </si>
  <si>
    <t>MPC</t>
  </si>
  <si>
    <t>$/$ wealth/yr</t>
  </si>
  <si>
    <t>MPC out of stock wealth</t>
  </si>
  <si>
    <t>Chodorow-Reich et al. (AER 2021): 3.2c/$/yr.</t>
  </si>
  <si>
    <t>H|USA</t>
  </si>
  <si>
    <t>US household share of US market</t>
  </si>
  <si>
    <t>Fed Z.1: 60.5% (2025Q4).</t>
  </si>
  <si>
    <t>H|CHN</t>
  </si>
  <si>
    <t>China household share</t>
  </si>
  <si>
    <t>H|ROW</t>
  </si>
  <si>
    <t>RoW household share</t>
  </si>
  <si>
    <t>wealth_spread_years</t>
  </si>
  <si>
    <t>yrs</t>
  </si>
  <si>
    <t>Wealth-effect spread</t>
  </si>
  <si>
    <t>d|USA</t>
  </si>
  <si>
    <t>d_j: world AI capex net-additive to USA GDP</t>
  </si>
  <si>
    <t>ASSUMPTION: ~60% located in US less import leakage.</t>
  </si>
  <si>
    <t>d|CHN</t>
  </si>
  <si>
    <t>d_j China</t>
  </si>
  <si>
    <t>ASSUMPTION.</t>
  </si>
  <si>
    <t>d|ROW</t>
  </si>
  <si>
    <t>d_j RoW</t>
  </si>
  <si>
    <t>x_share|USA</t>
  </si>
  <si>
    <t>Share of world AI capex spent in USA</t>
  </si>
  <si>
    <t>ESTIMATE (Morgan Stanley: ~60% of DC construction).</t>
  </si>
  <si>
    <t>x_share|CHN</t>
  </si>
  <si>
    <t>China capex share</t>
  </si>
  <si>
    <t>x_share|ROW</t>
  </si>
  <si>
    <t>RoW capex share</t>
  </si>
  <si>
    <t>alpha</t>
  </si>
  <si>
    <t>α: paused buildout never realized</t>
  </si>
  <si>
    <t>Spec options 0 (delayed) - 1 (destroyed). Default 0.5.</t>
  </si>
  <si>
    <t>phi|PhysicalCompute</t>
  </si>
  <si>
    <t>φ deterioration</t>
  </si>
  <si>
    <t>Default 0.</t>
  </si>
  <si>
    <t>phi|NonPhysicalInputs</t>
  </si>
  <si>
    <t>φ</t>
  </si>
  <si>
    <t>phi|AICompanies</t>
  </si>
  <si>
    <t>phi|AIDeployers</t>
  </si>
  <si>
    <t>g_nonai_W</t>
  </si>
  <si>
    <t>NonAI market growth post-2026</t>
  </si>
  <si>
    <t>ESTIMATE; Presets override.</t>
  </si>
  <si>
    <t>g_M|PhysicalCompute|2026_29</t>
  </si>
  <si>
    <t>Market cap growth, PhysicalCompute, 2026-2029</t>
  </si>
  <si>
    <t>BAU appreciation of AI-attributed value. Your pause model used 20%/yr flat for all AI. Presets override.</t>
  </si>
  <si>
    <t>g_M|PhysicalCompute|2029_32</t>
  </si>
  <si>
    <t>Market cap growth, PhysicalCompute, 2029-2032</t>
  </si>
  <si>
    <t>Decays as buildout matures. Presets override.</t>
  </si>
  <si>
    <t>g_M|PhysicalCompute|2032plus</t>
  </si>
  <si>
    <t>Market cap growth, PhysicalCompute, 2032+</t>
  </si>
  <si>
    <t>Presets override.</t>
  </si>
  <si>
    <t>g_M|NonPhysicalInputs|2026_29</t>
  </si>
  <si>
    <t>Market cap growth, NonPhysicalInputs, 2026-2029</t>
  </si>
  <si>
    <t>Data/eval/talent scales with training demand. Presets override.</t>
  </si>
  <si>
    <t>g_M|NonPhysicalInputs|2029_32</t>
  </si>
  <si>
    <t>Market cap growth, NonPhysicalInputs, 2029-2032</t>
  </si>
  <si>
    <t>g_M|NonPhysicalInputs|2032plus</t>
  </si>
  <si>
    <t>Market cap growth, NonPhysicalInputs, 2032+</t>
  </si>
  <si>
    <t>g_M|AICompanies|2026_29</t>
  </si>
  <si>
    <t>Market cap growth, AICompanies (labs), 2026-2029</t>
  </si>
  <si>
    <t>Labs re-rate fastest (Anthropic 20x fwd ARR; ARR growing &gt;100%/yr). Presets override.</t>
  </si>
  <si>
    <t>g_M|AICompanies|2029_32</t>
  </si>
  <si>
    <t>Market cap growth, AICompanies, 2029-2032</t>
  </si>
  <si>
    <t>g_M|AICompanies|2032plus</t>
  </si>
  <si>
    <t>Market cap growth, AICompanies, 2032+</t>
  </si>
  <si>
    <t>g_M|AIDeployers|2026_29</t>
  </si>
  <si>
    <t>Market cap growth, AIDeployers, 2026-2029</t>
  </si>
  <si>
    <t>Adoption premium spreads through the broader market. Presets override.</t>
  </si>
  <si>
    <t>g_M|AIDeployers|2029_32</t>
  </si>
  <si>
    <t>Market cap growth, AIDeployers, 2029-2032</t>
  </si>
  <si>
    <t>g_M|AIDeployers|2032plus</t>
  </si>
  <si>
    <t>Market cap growth, AIDeployers, 2032+</t>
  </si>
  <si>
    <t>g_D|PhysicalCompute|2026_29</t>
  </si>
  <si>
    <t>Debt growth, PhysicalCompute, 2026-2029</t>
  </si>
  <si>
    <t>GPU-backed/DC debt boom (CoreWeave $52B, Meta SPVs, Oracle). SemiAnalysis $7T-by-2029 path ≈ 140%/yr = Bullish. Presets override.</t>
  </si>
  <si>
    <t>g_D|PhysicalCompute|2029_32</t>
  </si>
  <si>
    <t>Debt growth, PhysicalCompute, 2029-2032</t>
  </si>
  <si>
    <t>g_D|PhysicalCompute|2032plus</t>
  </si>
  <si>
    <t>Debt growth, PhysicalCompute, 2032+</t>
  </si>
  <si>
    <t>g_D|NonPhysicalInputs|2026_29</t>
  </si>
  <si>
    <t>Debt growth, NonPhysicalInputs, 2026-2029</t>
  </si>
  <si>
    <t>Asset-light sector; little debt. Presets override.</t>
  </si>
  <si>
    <t>g_D|NonPhysicalInputs|2029_32</t>
  </si>
  <si>
    <t>Debt growth, NonPhysicalInputs, 2029-2032</t>
  </si>
  <si>
    <t>g_D|NonPhysicalInputs|2032plus</t>
  </si>
  <si>
    <t>Debt growth, NonPhysicalInputs, 2032+</t>
  </si>
  <si>
    <t>g_D|AICompanies|2026_29</t>
  </si>
  <si>
    <t>Debt growth, AICompanies, 2026-2029</t>
  </si>
  <si>
    <t>Labs currently ~equity-funded; debt grows as they scale DCs (OpenAI commitments). Presets override.</t>
  </si>
  <si>
    <t>g_D|AICompanies|2029_32</t>
  </si>
  <si>
    <t>Debt growth, AICompanies, 2029-2032</t>
  </si>
  <si>
    <t>g_D|AICompanies|2032plus</t>
  </si>
  <si>
    <t>Debt growth, AICompanies, 2032+</t>
  </si>
  <si>
    <t>g_D|AIDeployers|2026_29</t>
  </si>
  <si>
    <t>Debt growth, AIDeployers, 2026-2029</t>
  </si>
  <si>
    <t>g_D|AIDeployers|2029_32</t>
  </si>
  <si>
    <t>Debt growth, AIDeployers, 2029-2032</t>
  </si>
  <si>
    <t>g_D|AIDeployers|2032plus</t>
  </si>
  <si>
    <t>Debt growth, AIDeployers, 2032+</t>
  </si>
  <si>
    <t>g_C_2026_27</t>
  </si>
  <si>
    <t>Compute stock growth 2026→27</t>
  </si>
  <si>
    <t>Overrides the orange 2027-29 Compute projections when a non-Normal preset is chosen.</t>
  </si>
  <si>
    <t>g_C_2027_28</t>
  </si>
  <si>
    <t>Compute stock growth 2027→28</t>
  </si>
  <si>
    <t>As above.</t>
  </si>
  <si>
    <t>g_C_2028_29</t>
  </si>
  <si>
    <t>Compute stock growth 2028→29</t>
  </si>
  <si>
    <t>g_C_2029_30</t>
  </si>
  <si>
    <t>Compute growth 2029→30</t>
  </si>
  <si>
    <t>g_C_2030_31</t>
  </si>
  <si>
    <t>Compute growth 2030→31</t>
  </si>
  <si>
    <t>g_C_2031plus</t>
  </si>
  <si>
    <t>Compute growth 2031+</t>
  </si>
  <si>
    <t>Your pause model: 35%/yr 2030+.</t>
  </si>
  <si>
    <t>g_X_2026_27</t>
  </si>
  <si>
    <t>AI capex growth 2026→27</t>
  </si>
  <si>
    <t>Overrides orange Capex projections when preset ≠ Normal.</t>
  </si>
  <si>
    <t>g_X_2027_28</t>
  </si>
  <si>
    <t>AI capex growth 2027→28</t>
  </si>
  <si>
    <t>g_X_2028_29</t>
  </si>
  <si>
    <t>AI capex growth 2028→29</t>
  </si>
  <si>
    <t>g_X_post2029</t>
  </si>
  <si>
    <t>AI capex growth 2029+</t>
  </si>
  <si>
    <t>gamma_post2029</t>
  </si>
  <si>
    <t>GPU rental rate 2029+</t>
  </si>
  <si>
    <t>Your pause model default.</t>
  </si>
  <si>
    <t>Preset policies π = {s, p, B, q, t_s, t_e, ω}. Rows sharing a name with different [part n] tags are added together as one stacked scenario. Add rows for more dropdown options.</t>
  </si>
  <si>
    <t>Name</t>
  </si>
  <si>
    <t>s (GPU shutoff 0-1)</t>
  </si>
  <si>
    <t>p (training pause 0-1)</t>
  </si>
  <si>
    <t>B (buildout pause 0-1)</t>
  </si>
  <si>
    <t>q (tax, unused)</t>
  </si>
  <si>
    <t>t_s</t>
  </si>
  <si>
    <t>t_e</t>
  </si>
  <si>
    <t>omega</t>
  </si>
  <si>
    <t>Scenario A — 1-yr worldwide training pause (2029): all training compute shifted to inference</t>
  </si>
  <si>
    <t>USA,CHN,ROW</t>
  </si>
  <si>
    <t>Scenario B — 1-yr worldwide compute shutoff (2029): all compute off</t>
  </si>
  <si>
    <t>Scenario C — 1-yr worldwide AI compute buildout pause (2029): chips &amp; datacenter production paused</t>
  </si>
  <si>
    <t>Scenario D — 1-yr unilateral US training pause (2029): US-only, training shifted to inference</t>
  </si>
  <si>
    <t>Scenario E — 6-mo worldwide shutoff, then 2-yr training pause (2029-31) [part 1]</t>
  </si>
  <si>
    <t>Scenario E — 6-mo worldwide shutoff, then 2-yr training pause (2029-31) [part 2]</t>
  </si>
  <si>
    <t>Scenario F — training reduced 75% worldwide for 3 yrs (2029-32)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</si>
</sst>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b/>
      <sz val="11"/>
      <name val="Calibri"/>
    </font>
    <font>
      <b/>
      <sz val="10"/>
      <color rgb="FFFFFFFF"/>
      <name val="Calibri"/>
    </font>
    <font>
      <i/>
      <sz val="9"/>
      <color rgb="FF595959"/>
      <name val="Calibri"/>
    </font>
    <font>
      <b/>
      <sz val="11"/>
      <color rgb="FF1F3864"/>
      <name val="Calibri"/>
    </font>
    <font>
      <b/>
      <sz val="10"/>
      <color rgb="FF1F3864"/>
      <name val="Calibri"/>
    </font>
    <font>
      <b/>
      <sz val="10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164" fontId="0" fillId="3" borderId="1" xfId="0" applyNumberFormat="1" applyFill="1" applyBorder="1"/>
    <xf numFmtId="164" fontId="0" fillId="4" borderId="1" xfId="0" applyNumberFormat="1" applyFill="1" applyBorder="1"/>
    <xf numFmtId="9" fontId="0" fillId="3" borderId="1" xfId="0" applyNumberFormat="1" applyFill="1" applyBorder="1"/>
    <xf numFmtId="0" fontId="4" fillId="0" borderId="0" xfId="0" applyFont="1" applyAlignment="1">
      <alignment vertical="top" wrapText="1"/>
    </xf>
    <xf numFmtId="0" fontId="5" fillId="0" borderId="0" xfId="0" applyFont="1"/>
    <xf numFmtId="0" fontId="3" fillId="2" borderId="0" xfId="0" applyFont="1" applyFill="1"/>
    <xf numFmtId="3" fontId="0" fillId="4" borderId="1" xfId="0" applyNumberFormat="1" applyFill="1" applyBorder="1"/>
    <xf numFmtId="3" fontId="0" fillId="5" borderId="1" xfId="0" applyNumberFormat="1" applyFill="1" applyBorder="1"/>
    <xf numFmtId="164" fontId="0" fillId="5" borderId="1" xfId="0" applyNumberFormat="1" applyFill="1" applyBorder="1"/>
    <xf numFmtId="0" fontId="6" fillId="0" borderId="0" xfId="0" applyFont="1"/>
    <xf numFmtId="9" fontId="0" fillId="4" borderId="1" xfId="0" applyNumberFormat="1" applyFill="1" applyBorder="1"/>
    <xf numFmtId="0" fontId="3" fillId="2" borderId="0" xfId="0" applyFont="1" applyFill="1" applyAlignment="1">
      <alignment horizontal="center"/>
    </xf>
    <xf numFmtId="0" fontId="7" fillId="0" borderId="0" xfId="0" applyFont="1"/>
    <xf numFmtId="4" fontId="0" fillId="3" borderId="1" xfId="0" applyNumberFormat="1" applyFill="1" applyBorder="1"/>
    <xf numFmtId="4" fontId="0" fillId="6" borderId="1" xfId="0" applyNumberFormat="1" applyFill="1" applyBorder="1"/>
    <xf numFmtId="0" fontId="0" fillId="4" borderId="1" xfId="0" applyFill="1" applyBorder="1"/>
    <xf numFmtId="4" fontId="0" fillId="5" borderId="1" xfId="0" applyNumberFormat="1" applyFill="1" applyBorder="1"/>
    <xf numFmtId="0" fontId="0" fillId="3" borderId="1" xfId="0" applyFill="1" applyBorder="1"/>
    <xf numFmtId="0" fontId="0" fillId="4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/>
  </sheetViews>
  <sheetFormatPr baseColWidth="10" defaultColWidth="8.83203125" defaultRowHeight="15" x14ac:dyDescent="0.2"/>
  <cols>
    <col min="1" max="1" width="118" customWidth="1"/>
  </cols>
  <sheetData>
    <row r="1" spans="1:1" ht="17" x14ac:dyDescent="0.2">
      <c r="A1" s="1" t="s">
        <v>0</v>
      </c>
    </row>
    <row r="3" spans="1:1" x14ac:dyDescent="0.2">
      <c r="A3" t="s">
        <v>1</v>
      </c>
    </row>
    <row r="5" spans="1:1" x14ac:dyDescent="0.2">
      <c r="A5" s="2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3" spans="1:1" x14ac:dyDescent="0.2">
      <c r="A13" s="2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7" spans="1:1" x14ac:dyDescent="0.2">
      <c r="A27" s="2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8" spans="1:1" x14ac:dyDescent="0.2">
      <c r="A38" s="2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2" width="10" customWidth="1"/>
    <col min="3" max="3" width="17" customWidth="1"/>
    <col min="4" max="4" width="7" customWidth="1"/>
    <col min="5" max="5" width="11" customWidth="1"/>
    <col min="6" max="6" width="12" customWidth="1"/>
    <col min="7" max="7" width="9" customWidth="1"/>
    <col min="8" max="8" width="11" customWidth="1"/>
    <col min="9" max="9" width="12" customWidth="1"/>
    <col min="10" max="10" width="10" customWidth="1"/>
    <col min="11" max="12" width="11" customWidth="1"/>
    <col min="13" max="13" width="10" customWidth="1"/>
    <col min="14" max="15" width="13" customWidth="1"/>
    <col min="16" max="16" width="14" customWidth="1"/>
    <col min="17" max="17" width="13" customWidth="1"/>
    <col min="18" max="18" width="70" customWidth="1"/>
  </cols>
  <sheetData>
    <row r="1" spans="1:18" ht="17" x14ac:dyDescent="0.2">
      <c r="A1" s="1" t="s">
        <v>38</v>
      </c>
    </row>
    <row r="3" spans="1:18" ht="30" x14ac:dyDescent="0.2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</row>
    <row r="4" spans="1:18" ht="26" x14ac:dyDescent="0.2">
      <c r="A4" t="s">
        <v>57</v>
      </c>
      <c r="B4" s="4" t="s">
        <v>58</v>
      </c>
      <c r="C4" t="s">
        <v>59</v>
      </c>
      <c r="D4" t="s">
        <v>60</v>
      </c>
      <c r="E4" s="5">
        <v>5450</v>
      </c>
      <c r="F4" s="5">
        <v>12.8</v>
      </c>
      <c r="G4" s="5">
        <v>53.2</v>
      </c>
      <c r="H4" s="6">
        <f t="shared" ref="H4:H35" si="0">E4+F4-G4</f>
        <v>5409.6</v>
      </c>
      <c r="I4" s="5">
        <v>10</v>
      </c>
      <c r="J4" s="5">
        <v>300</v>
      </c>
      <c r="K4" s="7">
        <v>0.92</v>
      </c>
      <c r="L4" s="7">
        <v>0.92</v>
      </c>
      <c r="M4" s="7">
        <v>0.9</v>
      </c>
      <c r="N4" s="7">
        <v>0.6</v>
      </c>
      <c r="O4" s="5">
        <v>80</v>
      </c>
      <c r="P4" s="6">
        <f t="shared" ref="P4:P35" si="1">E4*M4-O4</f>
        <v>4825</v>
      </c>
      <c r="Q4" s="6">
        <f t="shared" ref="Q4:Q35" si="2">F4*M4</f>
        <v>11.520000000000001</v>
      </c>
      <c r="R4" s="8" t="s">
        <v>61</v>
      </c>
    </row>
    <row r="5" spans="1:18" ht="26" x14ac:dyDescent="0.2">
      <c r="A5" t="s">
        <v>62</v>
      </c>
      <c r="B5" s="4" t="s">
        <v>63</v>
      </c>
      <c r="C5" t="s">
        <v>59</v>
      </c>
      <c r="D5" t="s">
        <v>60</v>
      </c>
      <c r="E5" s="5">
        <v>1870</v>
      </c>
      <c r="F5" s="5">
        <v>64.900000000000006</v>
      </c>
      <c r="G5" s="5">
        <v>19.600000000000001</v>
      </c>
      <c r="H5" s="6">
        <f t="shared" si="0"/>
        <v>1915.3000000000002</v>
      </c>
      <c r="I5" s="5">
        <v>3</v>
      </c>
      <c r="J5" s="5">
        <v>64</v>
      </c>
      <c r="K5" s="7">
        <v>1.8</v>
      </c>
      <c r="L5" s="7">
        <v>0.55000000000000004</v>
      </c>
      <c r="M5" s="7">
        <v>0.6</v>
      </c>
      <c r="N5" s="7">
        <v>0.4</v>
      </c>
      <c r="O5" s="5">
        <v>0</v>
      </c>
      <c r="P5" s="6">
        <f t="shared" si="1"/>
        <v>1122</v>
      </c>
      <c r="Q5" s="6">
        <f t="shared" si="2"/>
        <v>38.940000000000005</v>
      </c>
      <c r="R5" s="8" t="s">
        <v>64</v>
      </c>
    </row>
    <row r="6" spans="1:18" x14ac:dyDescent="0.2">
      <c r="A6" t="s">
        <v>65</v>
      </c>
      <c r="B6" s="4" t="s">
        <v>65</v>
      </c>
      <c r="C6" t="s">
        <v>59</v>
      </c>
      <c r="D6" t="s">
        <v>60</v>
      </c>
      <c r="E6" s="5">
        <v>840</v>
      </c>
      <c r="F6" s="5">
        <v>4.3</v>
      </c>
      <c r="G6" s="5">
        <v>13.1</v>
      </c>
      <c r="H6" s="6">
        <f t="shared" si="0"/>
        <v>831.19999999999993</v>
      </c>
      <c r="I6" s="5">
        <v>2</v>
      </c>
      <c r="J6" s="5">
        <v>26</v>
      </c>
      <c r="K6" s="7">
        <v>0.56999999999999995</v>
      </c>
      <c r="L6" s="7">
        <v>0.56000000000000005</v>
      </c>
      <c r="M6" s="7">
        <v>0.55000000000000004</v>
      </c>
      <c r="N6" s="7">
        <v>0.4</v>
      </c>
      <c r="O6" s="5">
        <v>0</v>
      </c>
      <c r="P6" s="6">
        <f t="shared" si="1"/>
        <v>462.00000000000006</v>
      </c>
      <c r="Q6" s="6">
        <f t="shared" si="2"/>
        <v>2.3650000000000002</v>
      </c>
      <c r="R6" s="8" t="s">
        <v>66</v>
      </c>
    </row>
    <row r="7" spans="1:18" x14ac:dyDescent="0.2">
      <c r="A7" t="s">
        <v>67</v>
      </c>
      <c r="B7" s="4" t="s">
        <v>68</v>
      </c>
      <c r="C7" t="s">
        <v>59</v>
      </c>
      <c r="D7" t="s">
        <v>60</v>
      </c>
      <c r="E7" s="5">
        <v>250</v>
      </c>
      <c r="F7" s="5">
        <v>15</v>
      </c>
      <c r="G7" s="5">
        <v>10</v>
      </c>
      <c r="H7" s="6">
        <f t="shared" si="0"/>
        <v>255</v>
      </c>
      <c r="I7" s="5">
        <v>2</v>
      </c>
      <c r="J7" s="5">
        <v>16</v>
      </c>
      <c r="K7" s="7">
        <v>0.5</v>
      </c>
      <c r="L7" s="7">
        <v>0.6</v>
      </c>
      <c r="M7" s="7">
        <v>0.6</v>
      </c>
      <c r="N7" s="7">
        <v>0.4</v>
      </c>
      <c r="O7" s="5">
        <v>0</v>
      </c>
      <c r="P7" s="6">
        <f t="shared" si="1"/>
        <v>150</v>
      </c>
      <c r="Q7" s="6">
        <f t="shared" si="2"/>
        <v>9</v>
      </c>
      <c r="R7" s="8" t="s">
        <v>69</v>
      </c>
    </row>
    <row r="8" spans="1:18" x14ac:dyDescent="0.2">
      <c r="A8" t="s">
        <v>70</v>
      </c>
      <c r="B8" s="4" t="s">
        <v>71</v>
      </c>
      <c r="C8" t="s">
        <v>59</v>
      </c>
      <c r="D8" t="s">
        <v>60</v>
      </c>
      <c r="E8" s="5">
        <v>251</v>
      </c>
      <c r="F8" s="5">
        <v>0</v>
      </c>
      <c r="G8" s="5">
        <v>13.3</v>
      </c>
      <c r="H8" s="6">
        <f t="shared" si="0"/>
        <v>237.7</v>
      </c>
      <c r="I8" s="5">
        <v>0.2</v>
      </c>
      <c r="J8" s="5">
        <v>7.4</v>
      </c>
      <c r="K8" s="7">
        <v>0.35</v>
      </c>
      <c r="L8" s="7">
        <v>0.7</v>
      </c>
      <c r="M8" s="7">
        <v>0.7</v>
      </c>
      <c r="N8" s="7">
        <v>0.45</v>
      </c>
      <c r="O8" s="5">
        <v>0</v>
      </c>
      <c r="P8" s="6">
        <f t="shared" si="1"/>
        <v>175.7</v>
      </c>
      <c r="Q8" s="6">
        <f t="shared" si="2"/>
        <v>0</v>
      </c>
      <c r="R8" s="8" t="s">
        <v>72</v>
      </c>
    </row>
    <row r="9" spans="1:18" x14ac:dyDescent="0.2">
      <c r="A9" t="s">
        <v>73</v>
      </c>
      <c r="B9" s="4" t="s">
        <v>74</v>
      </c>
      <c r="C9" t="s">
        <v>59</v>
      </c>
      <c r="D9" t="s">
        <v>60</v>
      </c>
      <c r="E9" s="5">
        <v>350</v>
      </c>
      <c r="F9" s="5">
        <v>20</v>
      </c>
      <c r="G9" s="5">
        <v>15</v>
      </c>
      <c r="H9" s="6">
        <f t="shared" si="0"/>
        <v>355</v>
      </c>
      <c r="I9" s="5">
        <v>4</v>
      </c>
      <c r="J9" s="5">
        <v>20</v>
      </c>
      <c r="K9" s="7">
        <v>0.6</v>
      </c>
      <c r="L9" s="7">
        <v>0.6</v>
      </c>
      <c r="M9" s="7">
        <v>0.6</v>
      </c>
      <c r="N9" s="7">
        <v>0.4</v>
      </c>
      <c r="O9" s="5">
        <v>0</v>
      </c>
      <c r="P9" s="6">
        <f t="shared" si="1"/>
        <v>210</v>
      </c>
      <c r="Q9" s="6">
        <f t="shared" si="2"/>
        <v>12</v>
      </c>
      <c r="R9" s="8" t="s">
        <v>75</v>
      </c>
    </row>
    <row r="10" spans="1:18" x14ac:dyDescent="0.2">
      <c r="A10" t="s">
        <v>76</v>
      </c>
      <c r="B10" s="4" t="s">
        <v>74</v>
      </c>
      <c r="C10" t="s">
        <v>59</v>
      </c>
      <c r="D10" t="s">
        <v>60</v>
      </c>
      <c r="E10" s="5">
        <v>350</v>
      </c>
      <c r="F10" s="5">
        <v>35</v>
      </c>
      <c r="G10" s="5">
        <v>20</v>
      </c>
      <c r="H10" s="6">
        <f t="shared" si="0"/>
        <v>365</v>
      </c>
      <c r="I10" s="5">
        <v>4</v>
      </c>
      <c r="J10" s="5">
        <v>40</v>
      </c>
      <c r="K10" s="7">
        <v>0.5</v>
      </c>
      <c r="L10" s="7">
        <v>0.45</v>
      </c>
      <c r="M10" s="7">
        <v>0.45</v>
      </c>
      <c r="N10" s="7">
        <v>0.25</v>
      </c>
      <c r="O10" s="5">
        <v>0</v>
      </c>
      <c r="P10" s="6">
        <f t="shared" si="1"/>
        <v>157.5</v>
      </c>
      <c r="Q10" s="6">
        <f t="shared" si="2"/>
        <v>15.75</v>
      </c>
      <c r="R10" s="8" t="s">
        <v>77</v>
      </c>
    </row>
    <row r="11" spans="1:18" x14ac:dyDescent="0.2">
      <c r="A11" t="s">
        <v>78</v>
      </c>
      <c r="B11" s="4" t="s">
        <v>79</v>
      </c>
      <c r="C11" t="s">
        <v>59</v>
      </c>
      <c r="D11" t="s">
        <v>60</v>
      </c>
      <c r="E11" s="5">
        <v>1100</v>
      </c>
      <c r="F11" s="5">
        <v>6.4</v>
      </c>
      <c r="G11" s="5">
        <v>26</v>
      </c>
      <c r="H11" s="6">
        <f t="shared" si="0"/>
        <v>1080.4000000000001</v>
      </c>
      <c r="I11" s="5">
        <v>33</v>
      </c>
      <c r="J11" s="5">
        <v>63</v>
      </c>
      <c r="K11" s="7">
        <v>2</v>
      </c>
      <c r="L11" s="7">
        <v>0.7</v>
      </c>
      <c r="M11" s="7">
        <v>0.7</v>
      </c>
      <c r="N11" s="7">
        <v>0.45</v>
      </c>
      <c r="O11" s="5">
        <v>0</v>
      </c>
      <c r="P11" s="6">
        <f t="shared" si="1"/>
        <v>770</v>
      </c>
      <c r="Q11" s="6">
        <f t="shared" si="2"/>
        <v>4.4799999999999995</v>
      </c>
      <c r="R11" s="8" t="s">
        <v>80</v>
      </c>
    </row>
    <row r="12" spans="1:18" x14ac:dyDescent="0.2">
      <c r="A12" t="s">
        <v>81</v>
      </c>
      <c r="B12" s="4" t="s">
        <v>82</v>
      </c>
      <c r="C12" t="s">
        <v>59</v>
      </c>
      <c r="D12" t="s">
        <v>60</v>
      </c>
      <c r="E12" s="5">
        <v>539</v>
      </c>
      <c r="F12" s="5">
        <v>50.5</v>
      </c>
      <c r="G12" s="5">
        <v>29.7</v>
      </c>
      <c r="H12" s="6">
        <f t="shared" si="0"/>
        <v>559.79999999999995</v>
      </c>
      <c r="I12" s="5">
        <v>20</v>
      </c>
      <c r="J12" s="5">
        <v>12</v>
      </c>
      <c r="K12" s="7">
        <v>0.6</v>
      </c>
      <c r="L12" s="7">
        <v>0.18</v>
      </c>
      <c r="M12" s="7">
        <v>0.3</v>
      </c>
      <c r="N12" s="7">
        <v>0.2</v>
      </c>
      <c r="O12" s="5">
        <v>0</v>
      </c>
      <c r="P12" s="6">
        <f t="shared" si="1"/>
        <v>161.69999999999999</v>
      </c>
      <c r="Q12" s="6">
        <f t="shared" si="2"/>
        <v>15.149999999999999</v>
      </c>
      <c r="R12" s="8" t="s">
        <v>83</v>
      </c>
    </row>
    <row r="13" spans="1:18" x14ac:dyDescent="0.2">
      <c r="A13" t="s">
        <v>84</v>
      </c>
      <c r="B13" s="4" t="s">
        <v>85</v>
      </c>
      <c r="C13" t="s">
        <v>59</v>
      </c>
      <c r="D13" t="s">
        <v>60</v>
      </c>
      <c r="E13" s="5">
        <v>403</v>
      </c>
      <c r="F13" s="5">
        <v>6.5</v>
      </c>
      <c r="G13" s="5">
        <v>9.1999999999999993</v>
      </c>
      <c r="H13" s="6">
        <f t="shared" si="0"/>
        <v>400.3</v>
      </c>
      <c r="I13" s="5">
        <v>2.8</v>
      </c>
      <c r="J13" s="5">
        <v>14</v>
      </c>
      <c r="K13" s="7">
        <v>0.35</v>
      </c>
      <c r="L13" s="7">
        <v>0.5</v>
      </c>
      <c r="M13" s="7">
        <v>0.45</v>
      </c>
      <c r="N13" s="7">
        <v>0.3</v>
      </c>
      <c r="O13" s="5">
        <v>0</v>
      </c>
      <c r="P13" s="6">
        <f t="shared" si="1"/>
        <v>181.35</v>
      </c>
      <c r="Q13" s="6">
        <f t="shared" si="2"/>
        <v>2.9250000000000003</v>
      </c>
      <c r="R13" s="8" t="s">
        <v>86</v>
      </c>
    </row>
    <row r="14" spans="1:18" x14ac:dyDescent="0.2">
      <c r="A14" t="s">
        <v>87</v>
      </c>
      <c r="B14" s="4" t="s">
        <v>88</v>
      </c>
      <c r="C14" t="s">
        <v>59</v>
      </c>
      <c r="D14" t="s">
        <v>60</v>
      </c>
      <c r="E14" s="5">
        <v>416</v>
      </c>
      <c r="F14" s="5">
        <v>4.0999999999999996</v>
      </c>
      <c r="G14" s="5">
        <v>5.6</v>
      </c>
      <c r="H14" s="6">
        <f t="shared" si="0"/>
        <v>414.5</v>
      </c>
      <c r="I14" s="5">
        <v>1.2</v>
      </c>
      <c r="J14" s="5">
        <v>14</v>
      </c>
      <c r="K14" s="7">
        <v>0.5</v>
      </c>
      <c r="L14" s="7">
        <v>0.6</v>
      </c>
      <c r="M14" s="7">
        <v>0.45</v>
      </c>
      <c r="N14" s="7">
        <v>0.3</v>
      </c>
      <c r="O14" s="5">
        <v>0</v>
      </c>
      <c r="P14" s="6">
        <f t="shared" si="1"/>
        <v>187.20000000000002</v>
      </c>
      <c r="Q14" s="6">
        <f t="shared" si="2"/>
        <v>1.845</v>
      </c>
      <c r="R14" s="8" t="s">
        <v>89</v>
      </c>
    </row>
    <row r="15" spans="1:18" x14ac:dyDescent="0.2">
      <c r="A15" t="s">
        <v>90</v>
      </c>
      <c r="B15" s="4" t="s">
        <v>91</v>
      </c>
      <c r="C15" t="s">
        <v>59</v>
      </c>
      <c r="D15" t="s">
        <v>60</v>
      </c>
      <c r="E15" s="5">
        <v>266</v>
      </c>
      <c r="F15" s="5">
        <v>6.2</v>
      </c>
      <c r="G15" s="5">
        <v>4.9000000000000004</v>
      </c>
      <c r="H15" s="6">
        <f t="shared" si="0"/>
        <v>267.3</v>
      </c>
      <c r="I15" s="5">
        <v>0.6</v>
      </c>
      <c r="J15" s="5">
        <v>7</v>
      </c>
      <c r="K15" s="7">
        <v>0.3</v>
      </c>
      <c r="L15" s="7">
        <v>0.5</v>
      </c>
      <c r="M15" s="7">
        <v>0.45</v>
      </c>
      <c r="N15" s="7">
        <v>0.3</v>
      </c>
      <c r="O15" s="5">
        <v>0</v>
      </c>
      <c r="P15" s="6">
        <f t="shared" si="1"/>
        <v>119.7</v>
      </c>
      <c r="Q15" s="6">
        <f t="shared" si="2"/>
        <v>2.79</v>
      </c>
      <c r="R15" s="8" t="s">
        <v>92</v>
      </c>
    </row>
    <row r="16" spans="1:18" ht="26" x14ac:dyDescent="0.2">
      <c r="A16" t="s">
        <v>93</v>
      </c>
      <c r="B16" s="4" t="s">
        <v>94</v>
      </c>
      <c r="C16" t="s">
        <v>59</v>
      </c>
      <c r="D16" t="s">
        <v>60</v>
      </c>
      <c r="E16" s="5">
        <v>3680</v>
      </c>
      <c r="F16" s="5">
        <v>128.80000000000001</v>
      </c>
      <c r="G16" s="5">
        <v>76.8</v>
      </c>
      <c r="H16" s="6">
        <f t="shared" si="0"/>
        <v>3732</v>
      </c>
      <c r="I16" s="5">
        <v>175</v>
      </c>
      <c r="J16" s="5">
        <v>37</v>
      </c>
      <c r="K16" s="7">
        <v>1.23</v>
      </c>
      <c r="L16" s="7">
        <v>0.3</v>
      </c>
      <c r="M16" s="7">
        <v>0.25</v>
      </c>
      <c r="N16" s="7">
        <v>0.15</v>
      </c>
      <c r="O16" s="5">
        <v>230</v>
      </c>
      <c r="P16" s="6">
        <f t="shared" si="1"/>
        <v>690</v>
      </c>
      <c r="Q16" s="6">
        <f t="shared" si="2"/>
        <v>32.200000000000003</v>
      </c>
      <c r="R16" s="8" t="s">
        <v>95</v>
      </c>
    </row>
    <row r="17" spans="1:18" ht="26" x14ac:dyDescent="0.2">
      <c r="A17" t="s">
        <v>96</v>
      </c>
      <c r="B17" s="4" t="s">
        <v>97</v>
      </c>
      <c r="C17" t="s">
        <v>59</v>
      </c>
      <c r="D17" t="s">
        <v>60</v>
      </c>
      <c r="E17" s="5">
        <v>4230</v>
      </c>
      <c r="F17" s="5">
        <v>120.8</v>
      </c>
      <c r="G17" s="5">
        <v>242.5</v>
      </c>
      <c r="H17" s="6">
        <f t="shared" si="0"/>
        <v>4108.3</v>
      </c>
      <c r="I17" s="5">
        <v>185</v>
      </c>
      <c r="J17" s="5">
        <v>99</v>
      </c>
      <c r="K17" s="7">
        <v>0.82</v>
      </c>
      <c r="L17" s="7">
        <v>0.3</v>
      </c>
      <c r="M17" s="7">
        <v>0.3</v>
      </c>
      <c r="N17" s="7">
        <v>0.2</v>
      </c>
      <c r="O17" s="5">
        <v>135</v>
      </c>
      <c r="P17" s="6">
        <f t="shared" si="1"/>
        <v>1134</v>
      </c>
      <c r="Q17" s="6">
        <f t="shared" si="2"/>
        <v>36.239999999999995</v>
      </c>
      <c r="R17" s="8" t="s">
        <v>98</v>
      </c>
    </row>
    <row r="18" spans="1:18" x14ac:dyDescent="0.2">
      <c r="A18" t="s">
        <v>99</v>
      </c>
      <c r="B18" s="4" t="s">
        <v>100</v>
      </c>
      <c r="C18" t="s">
        <v>59</v>
      </c>
      <c r="D18" t="s">
        <v>60</v>
      </c>
      <c r="E18" s="5">
        <v>2830</v>
      </c>
      <c r="F18" s="5">
        <v>251.6</v>
      </c>
      <c r="G18" s="5">
        <v>123</v>
      </c>
      <c r="H18" s="6">
        <f t="shared" si="0"/>
        <v>2958.6</v>
      </c>
      <c r="I18" s="5">
        <v>220</v>
      </c>
      <c r="J18" s="5">
        <v>169</v>
      </c>
      <c r="K18" s="7">
        <v>0.37</v>
      </c>
      <c r="L18" s="7">
        <v>0.25</v>
      </c>
      <c r="M18" s="7">
        <v>0.25</v>
      </c>
      <c r="N18" s="7">
        <v>0.15</v>
      </c>
      <c r="O18" s="5">
        <v>150</v>
      </c>
      <c r="P18" s="6">
        <f t="shared" si="1"/>
        <v>557.5</v>
      </c>
      <c r="Q18" s="6">
        <f t="shared" si="2"/>
        <v>62.9</v>
      </c>
      <c r="R18" s="8" t="s">
        <v>101</v>
      </c>
    </row>
    <row r="19" spans="1:18" x14ac:dyDescent="0.2">
      <c r="A19" t="s">
        <v>102</v>
      </c>
      <c r="B19" s="4" t="s">
        <v>103</v>
      </c>
      <c r="C19" t="s">
        <v>59</v>
      </c>
      <c r="D19" t="s">
        <v>60</v>
      </c>
      <c r="E19" s="5">
        <v>1500</v>
      </c>
      <c r="F19" s="5">
        <v>112.3</v>
      </c>
      <c r="G19" s="5">
        <v>90.3</v>
      </c>
      <c r="H19" s="6">
        <f t="shared" si="0"/>
        <v>1522</v>
      </c>
      <c r="I19" s="5">
        <v>130</v>
      </c>
      <c r="J19" s="5">
        <v>0</v>
      </c>
      <c r="K19" s="7"/>
      <c r="L19" s="7">
        <v>0.15</v>
      </c>
      <c r="M19" s="7">
        <v>0.2</v>
      </c>
      <c r="N19" s="7">
        <v>0.12</v>
      </c>
      <c r="O19" s="5">
        <v>0</v>
      </c>
      <c r="P19" s="6">
        <f t="shared" si="1"/>
        <v>300</v>
      </c>
      <c r="Q19" s="6">
        <f t="shared" si="2"/>
        <v>22.46</v>
      </c>
      <c r="R19" s="8" t="s">
        <v>104</v>
      </c>
    </row>
    <row r="20" spans="1:18" x14ac:dyDescent="0.2">
      <c r="A20" t="s">
        <v>105</v>
      </c>
      <c r="B20" s="4" t="s">
        <v>106</v>
      </c>
      <c r="C20" t="s">
        <v>59</v>
      </c>
      <c r="D20" t="s">
        <v>60</v>
      </c>
      <c r="E20" s="5">
        <v>434</v>
      </c>
      <c r="F20" s="5">
        <v>167.4</v>
      </c>
      <c r="G20" s="5">
        <v>31.9</v>
      </c>
      <c r="H20" s="6">
        <f t="shared" si="0"/>
        <v>569.5</v>
      </c>
      <c r="I20" s="5">
        <v>75</v>
      </c>
      <c r="J20" s="5">
        <v>23</v>
      </c>
      <c r="K20" s="7">
        <v>0.93</v>
      </c>
      <c r="L20" s="7">
        <v>0.4</v>
      </c>
      <c r="M20" s="7">
        <v>0.55000000000000004</v>
      </c>
      <c r="N20" s="7">
        <v>0.35</v>
      </c>
      <c r="O20" s="5">
        <v>0</v>
      </c>
      <c r="P20" s="6">
        <f t="shared" si="1"/>
        <v>238.70000000000002</v>
      </c>
      <c r="Q20" s="6">
        <f t="shared" si="2"/>
        <v>92.070000000000007</v>
      </c>
      <c r="R20" s="8" t="s">
        <v>107</v>
      </c>
    </row>
    <row r="21" spans="1:18" x14ac:dyDescent="0.2">
      <c r="A21" t="s">
        <v>108</v>
      </c>
      <c r="B21" s="4" t="s">
        <v>109</v>
      </c>
      <c r="C21" t="s">
        <v>59</v>
      </c>
      <c r="D21" t="s">
        <v>60</v>
      </c>
      <c r="E21" s="5">
        <v>58.1</v>
      </c>
      <c r="F21" s="5">
        <v>51.6</v>
      </c>
      <c r="G21" s="5">
        <v>5.5</v>
      </c>
      <c r="H21" s="6">
        <f t="shared" si="0"/>
        <v>104.2</v>
      </c>
      <c r="I21" s="5">
        <v>33</v>
      </c>
      <c r="J21" s="5">
        <v>19</v>
      </c>
      <c r="K21" s="7">
        <v>1.5</v>
      </c>
      <c r="L21" s="7">
        <v>1</v>
      </c>
      <c r="M21" s="7">
        <v>1</v>
      </c>
      <c r="N21" s="7">
        <v>0.6</v>
      </c>
      <c r="O21" s="5">
        <v>0</v>
      </c>
      <c r="P21" s="6">
        <f t="shared" si="1"/>
        <v>58.1</v>
      </c>
      <c r="Q21" s="6">
        <f t="shared" si="2"/>
        <v>51.6</v>
      </c>
      <c r="R21" s="8" t="s">
        <v>110</v>
      </c>
    </row>
    <row r="22" spans="1:18" x14ac:dyDescent="0.2">
      <c r="A22" t="s">
        <v>111</v>
      </c>
      <c r="B22" s="4" t="s">
        <v>112</v>
      </c>
      <c r="C22" t="s">
        <v>59</v>
      </c>
      <c r="D22" t="s">
        <v>60</v>
      </c>
      <c r="E22" s="5">
        <v>76.099999999999994</v>
      </c>
      <c r="F22" s="5">
        <v>10.199999999999999</v>
      </c>
      <c r="G22" s="5">
        <v>8</v>
      </c>
      <c r="H22" s="6">
        <f t="shared" si="0"/>
        <v>78.3</v>
      </c>
      <c r="I22" s="5">
        <v>15</v>
      </c>
      <c r="J22" s="5">
        <v>6</v>
      </c>
      <c r="K22" s="7">
        <v>3</v>
      </c>
      <c r="L22" s="7">
        <v>1</v>
      </c>
      <c r="M22" s="7">
        <v>1</v>
      </c>
      <c r="N22" s="7">
        <v>0.6</v>
      </c>
      <c r="O22" s="5">
        <v>0</v>
      </c>
      <c r="P22" s="6">
        <f t="shared" si="1"/>
        <v>76.099999999999994</v>
      </c>
      <c r="Q22" s="6">
        <f t="shared" si="2"/>
        <v>10.199999999999999</v>
      </c>
      <c r="R22" s="8" t="s">
        <v>113</v>
      </c>
    </row>
    <row r="23" spans="1:18" x14ac:dyDescent="0.2">
      <c r="A23" t="s">
        <v>114</v>
      </c>
      <c r="B23" s="4" t="s">
        <v>74</v>
      </c>
      <c r="C23" t="s">
        <v>59</v>
      </c>
      <c r="D23" t="s">
        <v>60</v>
      </c>
      <c r="E23" s="5">
        <v>90</v>
      </c>
      <c r="F23" s="5">
        <v>15</v>
      </c>
      <c r="G23" s="5">
        <v>8</v>
      </c>
      <c r="H23" s="6">
        <f t="shared" si="0"/>
        <v>97</v>
      </c>
      <c r="I23" s="5">
        <v>15</v>
      </c>
      <c r="J23" s="5">
        <v>8</v>
      </c>
      <c r="K23" s="7">
        <v>1.5</v>
      </c>
      <c r="L23" s="7">
        <v>1</v>
      </c>
      <c r="M23" s="7">
        <v>1</v>
      </c>
      <c r="N23" s="7">
        <v>0.6</v>
      </c>
      <c r="O23" s="5">
        <v>0</v>
      </c>
      <c r="P23" s="6">
        <f t="shared" si="1"/>
        <v>90</v>
      </c>
      <c r="Q23" s="6">
        <f t="shared" si="2"/>
        <v>15</v>
      </c>
      <c r="R23" s="8" t="s">
        <v>115</v>
      </c>
    </row>
    <row r="24" spans="1:18" x14ac:dyDescent="0.2">
      <c r="A24" t="s">
        <v>116</v>
      </c>
      <c r="B24" s="4" t="s">
        <v>117</v>
      </c>
      <c r="C24" t="s">
        <v>59</v>
      </c>
      <c r="D24" t="s">
        <v>60</v>
      </c>
      <c r="E24" s="5">
        <v>100</v>
      </c>
      <c r="F24" s="5">
        <v>24.7</v>
      </c>
      <c r="G24" s="5">
        <v>0.7</v>
      </c>
      <c r="H24" s="6">
        <f t="shared" si="0"/>
        <v>124</v>
      </c>
      <c r="I24" s="5">
        <v>3.9</v>
      </c>
      <c r="J24" s="5">
        <v>0</v>
      </c>
      <c r="K24" s="7"/>
      <c r="L24" s="7">
        <v>0.2</v>
      </c>
      <c r="M24" s="7">
        <v>0.25</v>
      </c>
      <c r="N24" s="7">
        <v>0.15</v>
      </c>
      <c r="O24" s="5">
        <v>0</v>
      </c>
      <c r="P24" s="6">
        <f t="shared" si="1"/>
        <v>25</v>
      </c>
      <c r="Q24" s="6">
        <f t="shared" si="2"/>
        <v>6.1749999999999998</v>
      </c>
      <c r="R24" s="8" t="s">
        <v>118</v>
      </c>
    </row>
    <row r="25" spans="1:18" x14ac:dyDescent="0.2">
      <c r="A25" t="s">
        <v>119</v>
      </c>
      <c r="B25" s="4" t="s">
        <v>120</v>
      </c>
      <c r="C25" t="s">
        <v>59</v>
      </c>
      <c r="D25" t="s">
        <v>60</v>
      </c>
      <c r="E25" s="5">
        <v>49.7</v>
      </c>
      <c r="F25" s="5">
        <v>20.5</v>
      </c>
      <c r="G25" s="5">
        <v>0.4</v>
      </c>
      <c r="H25" s="6">
        <f t="shared" si="0"/>
        <v>69.8</v>
      </c>
      <c r="I25" s="5">
        <v>2.9</v>
      </c>
      <c r="J25" s="5">
        <v>0</v>
      </c>
      <c r="K25" s="7"/>
      <c r="L25" s="7">
        <v>0.15</v>
      </c>
      <c r="M25" s="7">
        <v>0.2</v>
      </c>
      <c r="N25" s="7">
        <v>0.12</v>
      </c>
      <c r="O25" s="5">
        <v>0</v>
      </c>
      <c r="P25" s="6">
        <f t="shared" si="1"/>
        <v>9.9400000000000013</v>
      </c>
      <c r="Q25" s="6">
        <f t="shared" si="2"/>
        <v>4.1000000000000005</v>
      </c>
      <c r="R25" s="8" t="s">
        <v>121</v>
      </c>
    </row>
    <row r="26" spans="1:18" x14ac:dyDescent="0.2">
      <c r="A26" t="s">
        <v>122</v>
      </c>
      <c r="B26" s="4" t="s">
        <v>123</v>
      </c>
      <c r="C26" t="s">
        <v>59</v>
      </c>
      <c r="D26" t="s">
        <v>60</v>
      </c>
      <c r="E26" s="5">
        <v>283</v>
      </c>
      <c r="F26" s="5">
        <v>3.7</v>
      </c>
      <c r="G26" s="5">
        <v>12.7</v>
      </c>
      <c r="H26" s="6">
        <f t="shared" si="0"/>
        <v>274</v>
      </c>
      <c r="I26" s="5">
        <v>2.5</v>
      </c>
      <c r="J26" s="5">
        <v>0</v>
      </c>
      <c r="K26" s="7"/>
      <c r="L26" s="7">
        <v>0.35</v>
      </c>
      <c r="M26" s="7">
        <v>0.3</v>
      </c>
      <c r="N26" s="7">
        <v>0.18</v>
      </c>
      <c r="O26" s="5">
        <v>0</v>
      </c>
      <c r="P26" s="6">
        <f t="shared" si="1"/>
        <v>84.899999999999991</v>
      </c>
      <c r="Q26" s="6">
        <f t="shared" si="2"/>
        <v>1.1100000000000001</v>
      </c>
      <c r="R26" s="8" t="s">
        <v>124</v>
      </c>
    </row>
    <row r="27" spans="1:18" x14ac:dyDescent="0.2">
      <c r="A27" t="s">
        <v>125</v>
      </c>
      <c r="B27" s="4" t="s">
        <v>126</v>
      </c>
      <c r="C27" t="s">
        <v>59</v>
      </c>
      <c r="D27" t="s">
        <v>60</v>
      </c>
      <c r="E27" s="5">
        <v>113</v>
      </c>
      <c r="F27" s="5">
        <v>3.3</v>
      </c>
      <c r="G27" s="5">
        <v>3.1</v>
      </c>
      <c r="H27" s="6">
        <f t="shared" si="0"/>
        <v>113.2</v>
      </c>
      <c r="I27" s="5">
        <v>0.5</v>
      </c>
      <c r="J27" s="5">
        <v>9</v>
      </c>
      <c r="K27" s="7">
        <v>0.3</v>
      </c>
      <c r="L27" s="7">
        <v>0.8</v>
      </c>
      <c r="M27" s="7">
        <v>0.75</v>
      </c>
      <c r="N27" s="7">
        <v>0.45</v>
      </c>
      <c r="O27" s="5">
        <v>0</v>
      </c>
      <c r="P27" s="6">
        <f t="shared" si="1"/>
        <v>84.75</v>
      </c>
      <c r="Q27" s="6">
        <f t="shared" si="2"/>
        <v>2.4749999999999996</v>
      </c>
      <c r="R27" s="8" t="s">
        <v>127</v>
      </c>
    </row>
    <row r="28" spans="1:18" x14ac:dyDescent="0.2">
      <c r="A28" t="s">
        <v>128</v>
      </c>
      <c r="B28" s="4" t="s">
        <v>74</v>
      </c>
      <c r="C28" t="s">
        <v>59</v>
      </c>
      <c r="D28" t="s">
        <v>60</v>
      </c>
      <c r="E28" s="5">
        <v>500</v>
      </c>
      <c r="F28" s="5">
        <v>120</v>
      </c>
      <c r="G28" s="5">
        <v>20</v>
      </c>
      <c r="H28" s="6">
        <f t="shared" si="0"/>
        <v>600</v>
      </c>
      <c r="I28" s="5">
        <v>25</v>
      </c>
      <c r="J28" s="5">
        <v>25</v>
      </c>
      <c r="K28" s="7">
        <v>0.3</v>
      </c>
      <c r="L28" s="7">
        <v>0.25</v>
      </c>
      <c r="M28" s="7">
        <v>0.25</v>
      </c>
      <c r="N28" s="7">
        <v>0.15</v>
      </c>
      <c r="O28" s="5">
        <v>0</v>
      </c>
      <c r="P28" s="6">
        <f t="shared" si="1"/>
        <v>125</v>
      </c>
      <c r="Q28" s="6">
        <f t="shared" si="2"/>
        <v>30</v>
      </c>
      <c r="R28" s="8" t="s">
        <v>129</v>
      </c>
    </row>
    <row r="29" spans="1:18" ht="26" x14ac:dyDescent="0.2">
      <c r="A29" t="s">
        <v>130</v>
      </c>
      <c r="B29" s="4" t="s">
        <v>131</v>
      </c>
      <c r="C29" t="s">
        <v>59</v>
      </c>
      <c r="D29" t="s">
        <v>132</v>
      </c>
      <c r="E29" s="5">
        <v>2200</v>
      </c>
      <c r="F29" s="5">
        <v>33.6</v>
      </c>
      <c r="G29" s="5">
        <v>110.6</v>
      </c>
      <c r="H29" s="6">
        <f t="shared" si="0"/>
        <v>2123</v>
      </c>
      <c r="I29" s="5">
        <v>52</v>
      </c>
      <c r="J29" s="5">
        <v>78</v>
      </c>
      <c r="K29" s="7">
        <v>1</v>
      </c>
      <c r="L29" s="7">
        <v>0.4</v>
      </c>
      <c r="M29" s="7">
        <v>0.55000000000000004</v>
      </c>
      <c r="N29" s="7">
        <v>0.35</v>
      </c>
      <c r="O29" s="5">
        <v>0</v>
      </c>
      <c r="P29" s="6">
        <f t="shared" si="1"/>
        <v>1210</v>
      </c>
      <c r="Q29" s="6">
        <f t="shared" si="2"/>
        <v>18.480000000000004</v>
      </c>
      <c r="R29" s="8" t="s">
        <v>133</v>
      </c>
    </row>
    <row r="30" spans="1:18" x14ac:dyDescent="0.2">
      <c r="A30" t="s">
        <v>134</v>
      </c>
      <c r="B30" s="4" t="s">
        <v>135</v>
      </c>
      <c r="C30" t="s">
        <v>59</v>
      </c>
      <c r="D30" t="s">
        <v>132</v>
      </c>
      <c r="E30" s="5">
        <v>827</v>
      </c>
      <c r="F30" s="5">
        <v>14</v>
      </c>
      <c r="G30" s="5">
        <v>68</v>
      </c>
      <c r="H30" s="6">
        <f t="shared" si="0"/>
        <v>773</v>
      </c>
      <c r="I30" s="5">
        <v>30</v>
      </c>
      <c r="J30" s="5">
        <v>100</v>
      </c>
      <c r="K30" s="7">
        <v>1.8</v>
      </c>
      <c r="L30" s="7">
        <v>0.7</v>
      </c>
      <c r="M30" s="7">
        <v>0.75</v>
      </c>
      <c r="N30" s="7">
        <v>0.5</v>
      </c>
      <c r="O30" s="5">
        <v>0</v>
      </c>
      <c r="P30" s="6">
        <f t="shared" si="1"/>
        <v>620.25</v>
      </c>
      <c r="Q30" s="6">
        <f t="shared" si="2"/>
        <v>10.5</v>
      </c>
      <c r="R30" s="8" t="s">
        <v>136</v>
      </c>
    </row>
    <row r="31" spans="1:18" x14ac:dyDescent="0.2">
      <c r="A31" t="s">
        <v>137</v>
      </c>
      <c r="B31" s="4" t="s">
        <v>138</v>
      </c>
      <c r="C31" t="s">
        <v>59</v>
      </c>
      <c r="D31" t="s">
        <v>132</v>
      </c>
      <c r="E31" s="5">
        <v>1273</v>
      </c>
      <c r="F31" s="5">
        <v>17</v>
      </c>
      <c r="G31" s="5">
        <v>146</v>
      </c>
      <c r="H31" s="6">
        <f t="shared" si="0"/>
        <v>1144</v>
      </c>
      <c r="I31" s="5">
        <v>45</v>
      </c>
      <c r="J31" s="5">
        <v>130</v>
      </c>
      <c r="K31" s="7">
        <v>2.5</v>
      </c>
      <c r="L31" s="7">
        <v>0.3</v>
      </c>
      <c r="M31" s="7">
        <v>0.3</v>
      </c>
      <c r="N31" s="7">
        <v>0.18</v>
      </c>
      <c r="O31" s="5">
        <v>0</v>
      </c>
      <c r="P31" s="6">
        <f t="shared" si="1"/>
        <v>381.9</v>
      </c>
      <c r="Q31" s="6">
        <f t="shared" si="2"/>
        <v>5.0999999999999996</v>
      </c>
      <c r="R31" s="8" t="s">
        <v>139</v>
      </c>
    </row>
    <row r="32" spans="1:18" x14ac:dyDescent="0.2">
      <c r="A32" t="s">
        <v>140</v>
      </c>
      <c r="B32" s="4" t="s">
        <v>140</v>
      </c>
      <c r="C32" t="s">
        <v>59</v>
      </c>
      <c r="D32" t="s">
        <v>132</v>
      </c>
      <c r="E32" s="5">
        <v>702</v>
      </c>
      <c r="F32" s="5">
        <v>2.2999999999999998</v>
      </c>
      <c r="G32" s="5">
        <v>8.6999999999999993</v>
      </c>
      <c r="H32" s="6">
        <f t="shared" si="0"/>
        <v>695.59999999999991</v>
      </c>
      <c r="I32" s="5">
        <v>2</v>
      </c>
      <c r="J32" s="5">
        <v>20</v>
      </c>
      <c r="K32" s="7">
        <v>0.7</v>
      </c>
      <c r="L32" s="7">
        <v>0.5</v>
      </c>
      <c r="M32" s="7">
        <v>0.5</v>
      </c>
      <c r="N32" s="7">
        <v>0.32</v>
      </c>
      <c r="O32" s="5">
        <v>0</v>
      </c>
      <c r="P32" s="6">
        <f t="shared" si="1"/>
        <v>351</v>
      </c>
      <c r="Q32" s="6">
        <f t="shared" si="2"/>
        <v>1.1499999999999999</v>
      </c>
      <c r="R32" s="8" t="s">
        <v>141</v>
      </c>
    </row>
    <row r="33" spans="1:18" x14ac:dyDescent="0.2">
      <c r="A33" t="s">
        <v>142</v>
      </c>
      <c r="B33" s="4" t="s">
        <v>143</v>
      </c>
      <c r="C33" t="s">
        <v>59</v>
      </c>
      <c r="D33" t="s">
        <v>132</v>
      </c>
      <c r="E33" s="5">
        <v>162</v>
      </c>
      <c r="F33" s="5">
        <v>0</v>
      </c>
      <c r="G33" s="5">
        <v>2.5</v>
      </c>
      <c r="H33" s="6">
        <f t="shared" si="0"/>
        <v>159.5</v>
      </c>
      <c r="I33" s="5">
        <v>1.5</v>
      </c>
      <c r="J33" s="5">
        <v>9</v>
      </c>
      <c r="K33" s="7">
        <v>0.45</v>
      </c>
      <c r="L33" s="7">
        <v>0.55000000000000004</v>
      </c>
      <c r="M33" s="7">
        <v>0.45</v>
      </c>
      <c r="N33" s="7">
        <v>0.3</v>
      </c>
      <c r="O33" s="5">
        <v>0</v>
      </c>
      <c r="P33" s="6">
        <f t="shared" si="1"/>
        <v>72.900000000000006</v>
      </c>
      <c r="Q33" s="6">
        <f t="shared" si="2"/>
        <v>0</v>
      </c>
      <c r="R33" s="8" t="s">
        <v>144</v>
      </c>
    </row>
    <row r="34" spans="1:18" x14ac:dyDescent="0.2">
      <c r="A34" t="s">
        <v>145</v>
      </c>
      <c r="B34" s="4" t="s">
        <v>74</v>
      </c>
      <c r="C34" t="s">
        <v>59</v>
      </c>
      <c r="D34" t="s">
        <v>132</v>
      </c>
      <c r="E34" s="5">
        <v>250</v>
      </c>
      <c r="F34" s="5">
        <v>10</v>
      </c>
      <c r="G34" s="5">
        <v>15</v>
      </c>
      <c r="H34" s="6">
        <f t="shared" si="0"/>
        <v>245</v>
      </c>
      <c r="I34" s="5">
        <v>3</v>
      </c>
      <c r="J34" s="5">
        <v>11</v>
      </c>
      <c r="K34" s="7">
        <v>0.5</v>
      </c>
      <c r="L34" s="7">
        <v>0.5</v>
      </c>
      <c r="M34" s="7">
        <v>0.45</v>
      </c>
      <c r="N34" s="7">
        <v>0.3</v>
      </c>
      <c r="O34" s="5">
        <v>0</v>
      </c>
      <c r="P34" s="6">
        <f t="shared" si="1"/>
        <v>112.5</v>
      </c>
      <c r="Q34" s="6">
        <f t="shared" si="2"/>
        <v>4.5</v>
      </c>
      <c r="R34" s="8" t="s">
        <v>146</v>
      </c>
    </row>
    <row r="35" spans="1:18" x14ac:dyDescent="0.2">
      <c r="A35" t="s">
        <v>147</v>
      </c>
      <c r="B35" s="4" t="s">
        <v>74</v>
      </c>
      <c r="C35" t="s">
        <v>59</v>
      </c>
      <c r="D35" t="s">
        <v>132</v>
      </c>
      <c r="E35" s="5">
        <v>145</v>
      </c>
      <c r="F35" s="5">
        <v>14.5</v>
      </c>
      <c r="G35" s="5">
        <v>22</v>
      </c>
      <c r="H35" s="6">
        <f t="shared" si="0"/>
        <v>137.5</v>
      </c>
      <c r="I35" s="5">
        <v>10</v>
      </c>
      <c r="J35" s="5">
        <v>2</v>
      </c>
      <c r="K35" s="7">
        <v>0.3</v>
      </c>
      <c r="L35" s="7">
        <v>0.05</v>
      </c>
      <c r="M35" s="7">
        <v>0.1</v>
      </c>
      <c r="N35" s="7">
        <v>0.05</v>
      </c>
      <c r="O35" s="5">
        <v>0</v>
      </c>
      <c r="P35" s="6">
        <f t="shared" si="1"/>
        <v>14.5</v>
      </c>
      <c r="Q35" s="6">
        <f t="shared" si="2"/>
        <v>1.4500000000000002</v>
      </c>
      <c r="R35" s="8" t="s">
        <v>148</v>
      </c>
    </row>
    <row r="36" spans="1:18" x14ac:dyDescent="0.2">
      <c r="A36" t="s">
        <v>149</v>
      </c>
      <c r="B36" s="4" t="s">
        <v>150</v>
      </c>
      <c r="C36" t="s">
        <v>59</v>
      </c>
      <c r="D36" t="s">
        <v>151</v>
      </c>
      <c r="E36" s="5">
        <v>148</v>
      </c>
      <c r="F36" s="5">
        <v>1</v>
      </c>
      <c r="G36" s="5">
        <v>3</v>
      </c>
      <c r="H36" s="6">
        <f t="shared" ref="H36:H67" si="3">E36+F36-G36</f>
        <v>146</v>
      </c>
      <c r="I36" s="5">
        <v>1</v>
      </c>
      <c r="J36" s="5">
        <v>7</v>
      </c>
      <c r="K36" s="7">
        <v>2</v>
      </c>
      <c r="L36" s="7">
        <v>1</v>
      </c>
      <c r="M36" s="7">
        <v>1</v>
      </c>
      <c r="N36" s="7">
        <v>0.7</v>
      </c>
      <c r="O36" s="5">
        <v>0</v>
      </c>
      <c r="P36" s="6">
        <f t="shared" ref="P36:P67" si="4">E36*M36-O36</f>
        <v>148</v>
      </c>
      <c r="Q36" s="6">
        <f t="shared" ref="Q36:Q69" si="5">F36*M36</f>
        <v>1</v>
      </c>
      <c r="R36" s="8" t="s">
        <v>152</v>
      </c>
    </row>
    <row r="37" spans="1:18" x14ac:dyDescent="0.2">
      <c r="A37" t="s">
        <v>153</v>
      </c>
      <c r="B37" s="4" t="s">
        <v>154</v>
      </c>
      <c r="C37" t="s">
        <v>59</v>
      </c>
      <c r="D37" t="s">
        <v>151</v>
      </c>
      <c r="E37" s="5">
        <v>101</v>
      </c>
      <c r="F37" s="5">
        <v>1</v>
      </c>
      <c r="G37" s="5">
        <v>3</v>
      </c>
      <c r="H37" s="6">
        <f t="shared" si="3"/>
        <v>99</v>
      </c>
      <c r="I37" s="5">
        <v>1</v>
      </c>
      <c r="J37" s="5">
        <v>8</v>
      </c>
      <c r="K37" s="7">
        <v>1</v>
      </c>
      <c r="L37" s="7">
        <v>0.85</v>
      </c>
      <c r="M37" s="7">
        <v>0.9</v>
      </c>
      <c r="N37" s="7">
        <v>0.6</v>
      </c>
      <c r="O37" s="5">
        <v>0</v>
      </c>
      <c r="P37" s="6">
        <f t="shared" si="4"/>
        <v>90.9</v>
      </c>
      <c r="Q37" s="6">
        <f t="shared" si="5"/>
        <v>0.9</v>
      </c>
      <c r="R37" s="8" t="s">
        <v>155</v>
      </c>
    </row>
    <row r="38" spans="1:18" x14ac:dyDescent="0.2">
      <c r="A38" t="s">
        <v>156</v>
      </c>
      <c r="B38" s="4" t="s">
        <v>157</v>
      </c>
      <c r="C38" t="s">
        <v>59</v>
      </c>
      <c r="D38" t="s">
        <v>151</v>
      </c>
      <c r="E38" s="5">
        <v>73</v>
      </c>
      <c r="F38" s="5">
        <v>10</v>
      </c>
      <c r="G38" s="5">
        <v>15</v>
      </c>
      <c r="H38" s="6">
        <f t="shared" si="3"/>
        <v>68</v>
      </c>
      <c r="I38" s="5">
        <v>7</v>
      </c>
      <c r="J38" s="5">
        <v>9</v>
      </c>
      <c r="K38" s="7">
        <v>0.5</v>
      </c>
      <c r="L38" s="7">
        <v>0.35</v>
      </c>
      <c r="M38" s="7">
        <v>0.4</v>
      </c>
      <c r="N38" s="7">
        <v>0.25</v>
      </c>
      <c r="O38" s="5">
        <v>0</v>
      </c>
      <c r="P38" s="6">
        <f t="shared" si="4"/>
        <v>29.200000000000003</v>
      </c>
      <c r="Q38" s="6">
        <f t="shared" si="5"/>
        <v>4</v>
      </c>
      <c r="R38" s="8" t="s">
        <v>158</v>
      </c>
    </row>
    <row r="39" spans="1:18" x14ac:dyDescent="0.2">
      <c r="A39" t="s">
        <v>159</v>
      </c>
      <c r="B39" s="4" t="s">
        <v>160</v>
      </c>
      <c r="C39" t="s">
        <v>59</v>
      </c>
      <c r="D39" t="s">
        <v>151</v>
      </c>
      <c r="E39" s="5">
        <v>150</v>
      </c>
      <c r="F39" s="5">
        <v>20</v>
      </c>
      <c r="G39" s="5">
        <v>15</v>
      </c>
      <c r="H39" s="6">
        <f t="shared" si="3"/>
        <v>155</v>
      </c>
      <c r="I39" s="5">
        <v>15</v>
      </c>
      <c r="J39" s="5">
        <v>25</v>
      </c>
      <c r="K39" s="7">
        <v>1.2</v>
      </c>
      <c r="L39" s="7">
        <v>1</v>
      </c>
      <c r="M39" s="7">
        <v>1</v>
      </c>
      <c r="N39" s="7">
        <v>0.65</v>
      </c>
      <c r="O39" s="5">
        <v>0</v>
      </c>
      <c r="P39" s="6">
        <f t="shared" si="4"/>
        <v>150</v>
      </c>
      <c r="Q39" s="6">
        <f t="shared" si="5"/>
        <v>20</v>
      </c>
      <c r="R39" s="8" t="s">
        <v>161</v>
      </c>
    </row>
    <row r="40" spans="1:18" x14ac:dyDescent="0.2">
      <c r="A40" t="s">
        <v>162</v>
      </c>
      <c r="B40" s="4" t="s">
        <v>74</v>
      </c>
      <c r="C40" t="s">
        <v>59</v>
      </c>
      <c r="D40" t="s">
        <v>151</v>
      </c>
      <c r="E40" s="5">
        <v>80</v>
      </c>
      <c r="F40" s="5">
        <v>15</v>
      </c>
      <c r="G40" s="5">
        <v>8</v>
      </c>
      <c r="H40" s="6">
        <f t="shared" si="3"/>
        <v>87</v>
      </c>
      <c r="I40" s="5">
        <v>8</v>
      </c>
      <c r="J40" s="5">
        <v>5</v>
      </c>
      <c r="K40" s="7">
        <v>0.8</v>
      </c>
      <c r="L40" s="7">
        <v>0.6</v>
      </c>
      <c r="M40" s="7">
        <v>0.6</v>
      </c>
      <c r="N40" s="7">
        <v>0.4</v>
      </c>
      <c r="O40" s="5">
        <v>0</v>
      </c>
      <c r="P40" s="6">
        <f t="shared" si="4"/>
        <v>48</v>
      </c>
      <c r="Q40" s="6">
        <f t="shared" si="5"/>
        <v>9</v>
      </c>
      <c r="R40" s="8" t="s">
        <v>146</v>
      </c>
    </row>
    <row r="41" spans="1:18" ht="26" x14ac:dyDescent="0.2">
      <c r="A41" t="s">
        <v>163</v>
      </c>
      <c r="B41" s="4" t="s">
        <v>164</v>
      </c>
      <c r="C41" t="s">
        <v>165</v>
      </c>
      <c r="D41" t="s">
        <v>60</v>
      </c>
      <c r="E41" s="5">
        <v>852</v>
      </c>
      <c r="F41" s="5">
        <v>0</v>
      </c>
      <c r="G41" s="5">
        <v>90</v>
      </c>
      <c r="H41" s="6">
        <f t="shared" si="3"/>
        <v>762</v>
      </c>
      <c r="I41" s="5">
        <v>45</v>
      </c>
      <c r="J41" s="5">
        <v>40</v>
      </c>
      <c r="K41" s="7">
        <v>1</v>
      </c>
      <c r="L41" s="7">
        <v>1</v>
      </c>
      <c r="M41" s="7">
        <v>1</v>
      </c>
      <c r="N41" s="7">
        <v>0.85</v>
      </c>
      <c r="O41" s="5">
        <v>5</v>
      </c>
      <c r="P41" s="6">
        <f t="shared" si="4"/>
        <v>847</v>
      </c>
      <c r="Q41" s="6">
        <f t="shared" si="5"/>
        <v>0</v>
      </c>
      <c r="R41" s="8" t="s">
        <v>166</v>
      </c>
    </row>
    <row r="42" spans="1:18" x14ac:dyDescent="0.2">
      <c r="A42" t="s">
        <v>167</v>
      </c>
      <c r="B42" s="4" t="s">
        <v>164</v>
      </c>
      <c r="C42" t="s">
        <v>165</v>
      </c>
      <c r="D42" t="s">
        <v>60</v>
      </c>
      <c r="E42" s="5">
        <v>965</v>
      </c>
      <c r="F42" s="5">
        <v>0</v>
      </c>
      <c r="G42" s="5">
        <v>70</v>
      </c>
      <c r="H42" s="6">
        <f t="shared" si="3"/>
        <v>895</v>
      </c>
      <c r="I42" s="5">
        <v>30</v>
      </c>
      <c r="J42" s="5">
        <v>47</v>
      </c>
      <c r="K42" s="7">
        <v>4</v>
      </c>
      <c r="L42" s="7">
        <v>1</v>
      </c>
      <c r="M42" s="7">
        <v>1</v>
      </c>
      <c r="N42" s="7">
        <v>0.85</v>
      </c>
      <c r="O42" s="5">
        <v>0</v>
      </c>
      <c r="P42" s="6">
        <f t="shared" si="4"/>
        <v>965</v>
      </c>
      <c r="Q42" s="6">
        <f t="shared" si="5"/>
        <v>0</v>
      </c>
      <c r="R42" s="8" t="s">
        <v>168</v>
      </c>
    </row>
    <row r="43" spans="1:18" x14ac:dyDescent="0.2">
      <c r="A43" t="s">
        <v>169</v>
      </c>
      <c r="B43" s="4" t="s">
        <v>164</v>
      </c>
      <c r="C43" t="s">
        <v>165</v>
      </c>
      <c r="D43" t="s">
        <v>60</v>
      </c>
      <c r="E43" s="5">
        <v>230</v>
      </c>
      <c r="F43" s="5">
        <v>5</v>
      </c>
      <c r="G43" s="5">
        <v>15</v>
      </c>
      <c r="H43" s="6">
        <f t="shared" si="3"/>
        <v>220</v>
      </c>
      <c r="I43" s="5">
        <v>20</v>
      </c>
      <c r="J43" s="5">
        <v>2</v>
      </c>
      <c r="K43" s="7">
        <v>1.5</v>
      </c>
      <c r="L43" s="7">
        <v>0.85</v>
      </c>
      <c r="M43" s="7">
        <v>1</v>
      </c>
      <c r="N43" s="7">
        <v>0.88</v>
      </c>
      <c r="O43" s="5">
        <v>0</v>
      </c>
      <c r="P43" s="6">
        <f t="shared" si="4"/>
        <v>230</v>
      </c>
      <c r="Q43" s="6">
        <f t="shared" si="5"/>
        <v>5</v>
      </c>
      <c r="R43" s="8" t="s">
        <v>170</v>
      </c>
    </row>
    <row r="44" spans="1:18" x14ac:dyDescent="0.2">
      <c r="A44" t="s">
        <v>171</v>
      </c>
      <c r="B44" s="4" t="s">
        <v>164</v>
      </c>
      <c r="C44" t="s">
        <v>165</v>
      </c>
      <c r="D44" t="s">
        <v>60</v>
      </c>
      <c r="E44" s="5">
        <v>32</v>
      </c>
      <c r="F44" s="5">
        <v>0</v>
      </c>
      <c r="G44" s="5">
        <v>7</v>
      </c>
      <c r="H44" s="6">
        <f t="shared" si="3"/>
        <v>25</v>
      </c>
      <c r="I44" s="5">
        <v>2</v>
      </c>
      <c r="J44" s="5">
        <v>0</v>
      </c>
      <c r="K44" s="7"/>
      <c r="L44" s="7">
        <v>1</v>
      </c>
      <c r="M44" s="7">
        <v>1</v>
      </c>
      <c r="N44" s="7">
        <v>0.95</v>
      </c>
      <c r="O44" s="5">
        <v>0</v>
      </c>
      <c r="P44" s="6">
        <f t="shared" si="4"/>
        <v>32</v>
      </c>
      <c r="Q44" s="6">
        <f t="shared" si="5"/>
        <v>0</v>
      </c>
      <c r="R44" s="8" t="s">
        <v>172</v>
      </c>
    </row>
    <row r="45" spans="1:18" x14ac:dyDescent="0.2">
      <c r="A45" t="s">
        <v>173</v>
      </c>
      <c r="B45" s="4" t="s">
        <v>164</v>
      </c>
      <c r="C45" t="s">
        <v>165</v>
      </c>
      <c r="D45" t="s">
        <v>60</v>
      </c>
      <c r="E45" s="5">
        <v>20</v>
      </c>
      <c r="F45" s="5">
        <v>0</v>
      </c>
      <c r="G45" s="5">
        <v>1.5</v>
      </c>
      <c r="H45" s="6">
        <f t="shared" si="3"/>
        <v>18.5</v>
      </c>
      <c r="I45" s="5">
        <v>0.2</v>
      </c>
      <c r="J45" s="5">
        <v>0.5</v>
      </c>
      <c r="K45" s="7">
        <v>3.35</v>
      </c>
      <c r="L45" s="7">
        <v>1</v>
      </c>
      <c r="M45" s="7">
        <v>1</v>
      </c>
      <c r="N45" s="7">
        <v>0.8</v>
      </c>
      <c r="O45" s="5">
        <v>0</v>
      </c>
      <c r="P45" s="6">
        <f t="shared" si="4"/>
        <v>20</v>
      </c>
      <c r="Q45" s="6">
        <f t="shared" si="5"/>
        <v>0</v>
      </c>
      <c r="R45" s="8" t="s">
        <v>174</v>
      </c>
    </row>
    <row r="46" spans="1:18" x14ac:dyDescent="0.2">
      <c r="A46" t="s">
        <v>175</v>
      </c>
      <c r="B46" s="4" t="s">
        <v>74</v>
      </c>
      <c r="C46" t="s">
        <v>165</v>
      </c>
      <c r="D46" t="s">
        <v>60</v>
      </c>
      <c r="E46" s="5">
        <v>155</v>
      </c>
      <c r="F46" s="5">
        <v>0</v>
      </c>
      <c r="G46" s="5">
        <v>8</v>
      </c>
      <c r="H46" s="6">
        <f t="shared" si="3"/>
        <v>147</v>
      </c>
      <c r="I46" s="5">
        <v>1</v>
      </c>
      <c r="J46" s="5">
        <v>8</v>
      </c>
      <c r="K46" s="7">
        <v>2.2999999999999998</v>
      </c>
      <c r="L46" s="7">
        <v>1</v>
      </c>
      <c r="M46" s="7">
        <v>1</v>
      </c>
      <c r="N46" s="7">
        <v>0.8</v>
      </c>
      <c r="O46" s="5">
        <v>0</v>
      </c>
      <c r="P46" s="6">
        <f t="shared" si="4"/>
        <v>155</v>
      </c>
      <c r="Q46" s="6">
        <f t="shared" si="5"/>
        <v>0</v>
      </c>
      <c r="R46" s="8" t="s">
        <v>176</v>
      </c>
    </row>
    <row r="47" spans="1:18" x14ac:dyDescent="0.2">
      <c r="A47" t="s">
        <v>177</v>
      </c>
      <c r="B47" s="4" t="s">
        <v>164</v>
      </c>
      <c r="C47" t="s">
        <v>165</v>
      </c>
      <c r="D47" t="s">
        <v>151</v>
      </c>
      <c r="E47" s="5">
        <v>60</v>
      </c>
      <c r="F47" s="5">
        <v>0</v>
      </c>
      <c r="G47" s="5">
        <v>5</v>
      </c>
      <c r="H47" s="6">
        <f t="shared" si="3"/>
        <v>55</v>
      </c>
      <c r="I47" s="5">
        <v>3</v>
      </c>
      <c r="J47" s="5">
        <v>1.5</v>
      </c>
      <c r="K47" s="7">
        <v>2</v>
      </c>
      <c r="L47" s="7">
        <v>1</v>
      </c>
      <c r="M47" s="7">
        <v>1</v>
      </c>
      <c r="N47" s="7">
        <v>0.85</v>
      </c>
      <c r="O47" s="5">
        <v>0</v>
      </c>
      <c r="P47" s="6">
        <f t="shared" si="4"/>
        <v>60</v>
      </c>
      <c r="Q47" s="6">
        <f t="shared" si="5"/>
        <v>0</v>
      </c>
      <c r="R47" s="8" t="s">
        <v>178</v>
      </c>
    </row>
    <row r="48" spans="1:18" x14ac:dyDescent="0.2">
      <c r="A48" t="s">
        <v>179</v>
      </c>
      <c r="B48" s="4" t="s">
        <v>180</v>
      </c>
      <c r="C48" t="s">
        <v>165</v>
      </c>
      <c r="D48" t="s">
        <v>151</v>
      </c>
      <c r="E48" s="5">
        <v>115</v>
      </c>
      <c r="F48" s="5">
        <v>0</v>
      </c>
      <c r="G48" s="5">
        <v>5</v>
      </c>
      <c r="H48" s="6">
        <f t="shared" si="3"/>
        <v>110</v>
      </c>
      <c r="I48" s="5">
        <v>2</v>
      </c>
      <c r="J48" s="5">
        <v>1.2</v>
      </c>
      <c r="K48" s="7">
        <v>3</v>
      </c>
      <c r="L48" s="7">
        <v>1</v>
      </c>
      <c r="M48" s="7">
        <v>1</v>
      </c>
      <c r="N48" s="7">
        <v>0.85</v>
      </c>
      <c r="O48" s="5">
        <v>0</v>
      </c>
      <c r="P48" s="6">
        <f t="shared" si="4"/>
        <v>115</v>
      </c>
      <c r="Q48" s="6">
        <f t="shared" si="5"/>
        <v>0</v>
      </c>
      <c r="R48" s="8" t="s">
        <v>181</v>
      </c>
    </row>
    <row r="49" spans="1:18" x14ac:dyDescent="0.2">
      <c r="A49" t="s">
        <v>182</v>
      </c>
      <c r="B49" s="4" t="s">
        <v>164</v>
      </c>
      <c r="C49" t="s">
        <v>165</v>
      </c>
      <c r="D49" t="s">
        <v>151</v>
      </c>
      <c r="E49" s="5">
        <v>30</v>
      </c>
      <c r="F49" s="5">
        <v>0</v>
      </c>
      <c r="G49" s="5">
        <v>2</v>
      </c>
      <c r="H49" s="6">
        <f t="shared" si="3"/>
        <v>28</v>
      </c>
      <c r="I49" s="5">
        <v>1.5</v>
      </c>
      <c r="J49" s="5">
        <v>0.8</v>
      </c>
      <c r="K49" s="7">
        <v>2.5</v>
      </c>
      <c r="L49" s="7">
        <v>1</v>
      </c>
      <c r="M49" s="7">
        <v>1</v>
      </c>
      <c r="N49" s="7">
        <v>0.85</v>
      </c>
      <c r="O49" s="5">
        <v>0</v>
      </c>
      <c r="P49" s="6">
        <f t="shared" si="4"/>
        <v>30</v>
      </c>
      <c r="Q49" s="6">
        <f t="shared" si="5"/>
        <v>0</v>
      </c>
      <c r="R49" s="8" t="s">
        <v>183</v>
      </c>
    </row>
    <row r="50" spans="1:18" x14ac:dyDescent="0.2">
      <c r="A50" t="s">
        <v>184</v>
      </c>
      <c r="B50" s="4" t="s">
        <v>185</v>
      </c>
      <c r="C50" t="s">
        <v>165</v>
      </c>
      <c r="D50" t="s">
        <v>151</v>
      </c>
      <c r="E50" s="5">
        <v>33</v>
      </c>
      <c r="F50" s="5">
        <v>0</v>
      </c>
      <c r="G50" s="5">
        <v>2</v>
      </c>
      <c r="H50" s="6">
        <f t="shared" si="3"/>
        <v>31</v>
      </c>
      <c r="I50" s="5">
        <v>1</v>
      </c>
      <c r="J50" s="5">
        <v>0.6</v>
      </c>
      <c r="K50" s="7">
        <v>2</v>
      </c>
      <c r="L50" s="7">
        <v>1</v>
      </c>
      <c r="M50" s="7">
        <v>1</v>
      </c>
      <c r="N50" s="7">
        <v>0.8</v>
      </c>
      <c r="O50" s="5">
        <v>0</v>
      </c>
      <c r="P50" s="6">
        <f t="shared" si="4"/>
        <v>33</v>
      </c>
      <c r="Q50" s="6">
        <f t="shared" si="5"/>
        <v>0</v>
      </c>
      <c r="R50" s="8" t="s">
        <v>186</v>
      </c>
    </row>
    <row r="51" spans="1:18" x14ac:dyDescent="0.2">
      <c r="A51" t="s">
        <v>187</v>
      </c>
      <c r="B51" s="4" t="s">
        <v>74</v>
      </c>
      <c r="C51" t="s">
        <v>165</v>
      </c>
      <c r="D51" t="s">
        <v>151</v>
      </c>
      <c r="E51" s="5">
        <v>20</v>
      </c>
      <c r="F51" s="5">
        <v>0</v>
      </c>
      <c r="G51" s="5">
        <v>2</v>
      </c>
      <c r="H51" s="6">
        <f t="shared" si="3"/>
        <v>18</v>
      </c>
      <c r="I51" s="5">
        <v>1</v>
      </c>
      <c r="J51" s="5">
        <v>0.5</v>
      </c>
      <c r="K51" s="7">
        <v>2</v>
      </c>
      <c r="L51" s="7">
        <v>1</v>
      </c>
      <c r="M51" s="7">
        <v>1</v>
      </c>
      <c r="N51" s="7">
        <v>0.8</v>
      </c>
      <c r="O51" s="5">
        <v>0</v>
      </c>
      <c r="P51" s="6">
        <f t="shared" si="4"/>
        <v>20</v>
      </c>
      <c r="Q51" s="6">
        <f t="shared" si="5"/>
        <v>0</v>
      </c>
      <c r="R51" s="8" t="s">
        <v>146</v>
      </c>
    </row>
    <row r="52" spans="1:18" x14ac:dyDescent="0.2">
      <c r="A52" t="s">
        <v>188</v>
      </c>
      <c r="B52" s="4" t="s">
        <v>164</v>
      </c>
      <c r="C52" t="s">
        <v>165</v>
      </c>
      <c r="D52" t="s">
        <v>132</v>
      </c>
      <c r="E52" s="5">
        <v>20</v>
      </c>
      <c r="F52" s="5">
        <v>0.8</v>
      </c>
      <c r="G52" s="5">
        <v>4.5</v>
      </c>
      <c r="H52" s="6">
        <f t="shared" si="3"/>
        <v>16.3</v>
      </c>
      <c r="I52" s="5">
        <v>1.5</v>
      </c>
      <c r="J52" s="5">
        <v>0.4</v>
      </c>
      <c r="K52" s="7">
        <v>3</v>
      </c>
      <c r="L52" s="7">
        <v>1</v>
      </c>
      <c r="M52" s="7">
        <v>1</v>
      </c>
      <c r="N52" s="7">
        <v>0.85</v>
      </c>
      <c r="O52" s="5">
        <v>0</v>
      </c>
      <c r="P52" s="6">
        <f t="shared" si="4"/>
        <v>20</v>
      </c>
      <c r="Q52" s="6">
        <f t="shared" si="5"/>
        <v>0.8</v>
      </c>
      <c r="R52" s="8" t="s">
        <v>189</v>
      </c>
    </row>
    <row r="53" spans="1:18" x14ac:dyDescent="0.2">
      <c r="A53" t="s">
        <v>190</v>
      </c>
      <c r="B53" s="4" t="s">
        <v>164</v>
      </c>
      <c r="C53" t="s">
        <v>165</v>
      </c>
      <c r="D53" t="s">
        <v>132</v>
      </c>
      <c r="E53" s="5">
        <v>7</v>
      </c>
      <c r="F53" s="5">
        <v>0</v>
      </c>
      <c r="G53" s="5">
        <v>1</v>
      </c>
      <c r="H53" s="6">
        <f t="shared" si="3"/>
        <v>6</v>
      </c>
      <c r="I53" s="5">
        <v>0.3</v>
      </c>
      <c r="J53" s="5">
        <v>0.3</v>
      </c>
      <c r="K53" s="7">
        <v>1.5</v>
      </c>
      <c r="L53" s="7">
        <v>1</v>
      </c>
      <c r="M53" s="7">
        <v>1</v>
      </c>
      <c r="N53" s="7">
        <v>0.8</v>
      </c>
      <c r="O53" s="5">
        <v>0</v>
      </c>
      <c r="P53" s="6">
        <f t="shared" si="4"/>
        <v>7</v>
      </c>
      <c r="Q53" s="6">
        <f t="shared" si="5"/>
        <v>0</v>
      </c>
      <c r="R53" s="8" t="s">
        <v>191</v>
      </c>
    </row>
    <row r="54" spans="1:18" x14ac:dyDescent="0.2">
      <c r="A54" t="s">
        <v>192</v>
      </c>
      <c r="B54" s="4" t="s">
        <v>74</v>
      </c>
      <c r="C54" t="s">
        <v>165</v>
      </c>
      <c r="D54" t="s">
        <v>132</v>
      </c>
      <c r="E54" s="5">
        <v>15</v>
      </c>
      <c r="F54" s="5">
        <v>0</v>
      </c>
      <c r="G54" s="5">
        <v>2</v>
      </c>
      <c r="H54" s="6">
        <f t="shared" si="3"/>
        <v>13</v>
      </c>
      <c r="I54" s="5">
        <v>0.5</v>
      </c>
      <c r="J54" s="5">
        <v>0.5</v>
      </c>
      <c r="K54" s="7">
        <v>2</v>
      </c>
      <c r="L54" s="7">
        <v>1</v>
      </c>
      <c r="M54" s="7">
        <v>1</v>
      </c>
      <c r="N54" s="7">
        <v>0.8</v>
      </c>
      <c r="O54" s="5">
        <v>0</v>
      </c>
      <c r="P54" s="6">
        <f t="shared" si="4"/>
        <v>15</v>
      </c>
      <c r="Q54" s="6">
        <f t="shared" si="5"/>
        <v>0</v>
      </c>
      <c r="R54" s="8" t="s">
        <v>146</v>
      </c>
    </row>
    <row r="55" spans="1:18" x14ac:dyDescent="0.2">
      <c r="A55" t="s">
        <v>193</v>
      </c>
      <c r="B55" s="4" t="s">
        <v>164</v>
      </c>
      <c r="C55" t="s">
        <v>194</v>
      </c>
      <c r="D55" t="s">
        <v>60</v>
      </c>
      <c r="E55" s="5">
        <v>29</v>
      </c>
      <c r="F55" s="5">
        <v>0</v>
      </c>
      <c r="G55" s="5">
        <v>5</v>
      </c>
      <c r="H55" s="6">
        <f t="shared" si="3"/>
        <v>24</v>
      </c>
      <c r="I55" s="5">
        <v>0</v>
      </c>
      <c r="J55" s="5">
        <v>1</v>
      </c>
      <c r="K55" s="7">
        <v>-0.5</v>
      </c>
      <c r="L55" s="7">
        <v>1</v>
      </c>
      <c r="M55" s="7">
        <v>1</v>
      </c>
      <c r="N55" s="7">
        <v>0.7</v>
      </c>
      <c r="O55" s="5">
        <v>0</v>
      </c>
      <c r="P55" s="6">
        <f t="shared" si="4"/>
        <v>29</v>
      </c>
      <c r="Q55" s="6">
        <f t="shared" si="5"/>
        <v>0</v>
      </c>
      <c r="R55" s="8" t="s">
        <v>195</v>
      </c>
    </row>
    <row r="56" spans="1:18" x14ac:dyDescent="0.2">
      <c r="A56" t="s">
        <v>196</v>
      </c>
      <c r="B56" s="4" t="s">
        <v>164</v>
      </c>
      <c r="C56" t="s">
        <v>194</v>
      </c>
      <c r="D56" t="s">
        <v>60</v>
      </c>
      <c r="E56" s="5">
        <v>27</v>
      </c>
      <c r="F56" s="5">
        <v>0</v>
      </c>
      <c r="G56" s="5">
        <v>1.5</v>
      </c>
      <c r="H56" s="6">
        <f t="shared" si="3"/>
        <v>25.5</v>
      </c>
      <c r="I56" s="5">
        <v>0</v>
      </c>
      <c r="J56" s="5">
        <v>1.7</v>
      </c>
      <c r="K56" s="7">
        <v>0.2</v>
      </c>
      <c r="L56" s="7">
        <v>1</v>
      </c>
      <c r="M56" s="7">
        <v>1</v>
      </c>
      <c r="N56" s="7">
        <v>0.7</v>
      </c>
      <c r="O56" s="5">
        <v>0</v>
      </c>
      <c r="P56" s="6">
        <f t="shared" si="4"/>
        <v>27</v>
      </c>
      <c r="Q56" s="6">
        <f t="shared" si="5"/>
        <v>0</v>
      </c>
      <c r="R56" s="8" t="s">
        <v>197</v>
      </c>
    </row>
    <row r="57" spans="1:18" x14ac:dyDescent="0.2">
      <c r="A57" t="s">
        <v>198</v>
      </c>
      <c r="B57" s="4" t="s">
        <v>164</v>
      </c>
      <c r="C57" t="s">
        <v>194</v>
      </c>
      <c r="D57" t="s">
        <v>60</v>
      </c>
      <c r="E57" s="5">
        <v>15</v>
      </c>
      <c r="F57" s="5">
        <v>0</v>
      </c>
      <c r="G57" s="5">
        <v>0.8</v>
      </c>
      <c r="H57" s="6">
        <f t="shared" si="3"/>
        <v>14.2</v>
      </c>
      <c r="I57" s="5">
        <v>0</v>
      </c>
      <c r="J57" s="5">
        <v>2</v>
      </c>
      <c r="K57" s="7">
        <v>3.4</v>
      </c>
      <c r="L57" s="7">
        <v>1</v>
      </c>
      <c r="M57" s="7">
        <v>1</v>
      </c>
      <c r="N57" s="7">
        <v>0.75</v>
      </c>
      <c r="O57" s="5">
        <v>0</v>
      </c>
      <c r="P57" s="6">
        <f t="shared" si="4"/>
        <v>15</v>
      </c>
      <c r="Q57" s="6">
        <f t="shared" si="5"/>
        <v>0</v>
      </c>
      <c r="R57" s="8" t="s">
        <v>199</v>
      </c>
    </row>
    <row r="58" spans="1:18" x14ac:dyDescent="0.2">
      <c r="A58" t="s">
        <v>200</v>
      </c>
      <c r="B58" s="4" t="s">
        <v>201</v>
      </c>
      <c r="C58" t="s">
        <v>194</v>
      </c>
      <c r="D58" t="s">
        <v>60</v>
      </c>
      <c r="E58" s="5">
        <v>34.299999999999997</v>
      </c>
      <c r="F58" s="5">
        <v>0</v>
      </c>
      <c r="G58" s="5">
        <v>2.8</v>
      </c>
      <c r="H58" s="6">
        <f t="shared" si="3"/>
        <v>31.499999999999996</v>
      </c>
      <c r="I58" s="5">
        <v>0</v>
      </c>
      <c r="J58" s="5">
        <v>0.35</v>
      </c>
      <c r="K58" s="7">
        <v>0.5</v>
      </c>
      <c r="L58" s="7">
        <v>0.15</v>
      </c>
      <c r="M58" s="7">
        <v>0.25</v>
      </c>
      <c r="N58" s="7">
        <v>0.15</v>
      </c>
      <c r="O58" s="5">
        <v>0</v>
      </c>
      <c r="P58" s="6">
        <f t="shared" si="4"/>
        <v>8.5749999999999993</v>
      </c>
      <c r="Q58" s="6">
        <f t="shared" si="5"/>
        <v>0</v>
      </c>
      <c r="R58" s="8" t="s">
        <v>202</v>
      </c>
    </row>
    <row r="59" spans="1:18" x14ac:dyDescent="0.2">
      <c r="A59" t="s">
        <v>203</v>
      </c>
      <c r="B59" s="4" t="s">
        <v>74</v>
      </c>
      <c r="C59" t="s">
        <v>194</v>
      </c>
      <c r="D59" t="s">
        <v>60</v>
      </c>
      <c r="E59" s="5">
        <v>10</v>
      </c>
      <c r="F59" s="5">
        <v>0</v>
      </c>
      <c r="G59" s="5">
        <v>0.5</v>
      </c>
      <c r="H59" s="6">
        <f t="shared" si="3"/>
        <v>9.5</v>
      </c>
      <c r="I59" s="5">
        <v>0</v>
      </c>
      <c r="J59" s="5">
        <v>1.2</v>
      </c>
      <c r="K59" s="7">
        <v>0.5</v>
      </c>
      <c r="L59" s="7">
        <v>1</v>
      </c>
      <c r="M59" s="7">
        <v>1</v>
      </c>
      <c r="N59" s="7">
        <v>0.7</v>
      </c>
      <c r="O59" s="5">
        <v>0</v>
      </c>
      <c r="P59" s="6">
        <f t="shared" si="4"/>
        <v>10</v>
      </c>
      <c r="Q59" s="6">
        <f t="shared" si="5"/>
        <v>0</v>
      </c>
      <c r="R59" s="8" t="s">
        <v>146</v>
      </c>
    </row>
    <row r="60" spans="1:18" x14ac:dyDescent="0.2">
      <c r="A60" t="s">
        <v>204</v>
      </c>
      <c r="B60" s="4" t="s">
        <v>74</v>
      </c>
      <c r="C60" t="s">
        <v>194</v>
      </c>
      <c r="D60" t="s">
        <v>151</v>
      </c>
      <c r="E60" s="5">
        <v>15</v>
      </c>
      <c r="F60" s="5">
        <v>0</v>
      </c>
      <c r="G60" s="5">
        <v>1</v>
      </c>
      <c r="H60" s="6">
        <f t="shared" si="3"/>
        <v>14</v>
      </c>
      <c r="I60" s="5">
        <v>0</v>
      </c>
      <c r="J60" s="5">
        <v>1.5</v>
      </c>
      <c r="K60" s="7">
        <v>0.6</v>
      </c>
      <c r="L60" s="7">
        <v>1</v>
      </c>
      <c r="M60" s="7">
        <v>1</v>
      </c>
      <c r="N60" s="7">
        <v>0.7</v>
      </c>
      <c r="O60" s="5">
        <v>0</v>
      </c>
      <c r="P60" s="6">
        <f t="shared" si="4"/>
        <v>15</v>
      </c>
      <c r="Q60" s="6">
        <f t="shared" si="5"/>
        <v>0</v>
      </c>
      <c r="R60" s="8" t="s">
        <v>146</v>
      </c>
    </row>
    <row r="61" spans="1:18" x14ac:dyDescent="0.2">
      <c r="A61" t="s">
        <v>205</v>
      </c>
      <c r="B61" s="4" t="s">
        <v>74</v>
      </c>
      <c r="C61" t="s">
        <v>194</v>
      </c>
      <c r="D61" t="s">
        <v>132</v>
      </c>
      <c r="E61" s="5">
        <v>10</v>
      </c>
      <c r="F61" s="5">
        <v>0</v>
      </c>
      <c r="G61" s="5">
        <v>0.5</v>
      </c>
      <c r="H61" s="6">
        <f t="shared" si="3"/>
        <v>9.5</v>
      </c>
      <c r="I61" s="5">
        <v>0</v>
      </c>
      <c r="J61" s="5">
        <v>0.8</v>
      </c>
      <c r="K61" s="7">
        <v>0.5</v>
      </c>
      <c r="L61" s="7">
        <v>1</v>
      </c>
      <c r="M61" s="7">
        <v>1</v>
      </c>
      <c r="N61" s="7">
        <v>0.7</v>
      </c>
      <c r="O61" s="5">
        <v>0</v>
      </c>
      <c r="P61" s="6">
        <f t="shared" si="4"/>
        <v>10</v>
      </c>
      <c r="Q61" s="6">
        <f t="shared" si="5"/>
        <v>0</v>
      </c>
      <c r="R61" s="8" t="s">
        <v>146</v>
      </c>
    </row>
    <row r="62" spans="1:18" x14ac:dyDescent="0.2">
      <c r="A62" t="s">
        <v>206</v>
      </c>
      <c r="B62" s="4" t="s">
        <v>207</v>
      </c>
      <c r="C62" t="s">
        <v>208</v>
      </c>
      <c r="D62" t="s">
        <v>60</v>
      </c>
      <c r="E62" s="5">
        <v>418</v>
      </c>
      <c r="F62" s="5">
        <v>0.2</v>
      </c>
      <c r="G62" s="5">
        <v>9.4</v>
      </c>
      <c r="H62" s="6">
        <f t="shared" si="3"/>
        <v>408.8</v>
      </c>
      <c r="I62" s="5">
        <v>0.1</v>
      </c>
      <c r="J62" s="5">
        <v>4.3</v>
      </c>
      <c r="K62" s="7">
        <v>1.2</v>
      </c>
      <c r="L62" s="7">
        <v>0.7</v>
      </c>
      <c r="M62" s="7">
        <v>0.7</v>
      </c>
      <c r="N62" s="7">
        <v>0.45</v>
      </c>
      <c r="O62" s="5">
        <v>0</v>
      </c>
      <c r="P62" s="6">
        <f t="shared" si="4"/>
        <v>292.59999999999997</v>
      </c>
      <c r="Q62" s="6">
        <f t="shared" si="5"/>
        <v>0.13999999999999999</v>
      </c>
      <c r="R62" s="8" t="s">
        <v>209</v>
      </c>
    </row>
    <row r="63" spans="1:18" x14ac:dyDescent="0.2">
      <c r="A63" t="s">
        <v>210</v>
      </c>
      <c r="B63" s="4" t="s">
        <v>211</v>
      </c>
      <c r="C63" t="s">
        <v>208</v>
      </c>
      <c r="D63" t="s">
        <v>60</v>
      </c>
      <c r="E63" s="5">
        <v>161</v>
      </c>
      <c r="F63" s="5">
        <v>42.6</v>
      </c>
      <c r="G63" s="5">
        <v>11.8</v>
      </c>
      <c r="H63" s="6">
        <f t="shared" si="3"/>
        <v>191.79999999999998</v>
      </c>
      <c r="I63" s="5">
        <v>0.7</v>
      </c>
      <c r="J63" s="5">
        <v>4.3</v>
      </c>
      <c r="K63" s="7">
        <v>1.2</v>
      </c>
      <c r="L63" s="7">
        <v>0.1</v>
      </c>
      <c r="M63" s="7">
        <v>0.15</v>
      </c>
      <c r="N63" s="7">
        <v>0.1</v>
      </c>
      <c r="O63" s="5">
        <v>0</v>
      </c>
      <c r="P63" s="6">
        <f t="shared" si="4"/>
        <v>24.15</v>
      </c>
      <c r="Q63" s="6">
        <f t="shared" si="5"/>
        <v>6.39</v>
      </c>
      <c r="R63" s="8" t="s">
        <v>212</v>
      </c>
    </row>
    <row r="64" spans="1:18" x14ac:dyDescent="0.2">
      <c r="A64" t="s">
        <v>213</v>
      </c>
      <c r="B64" s="4" t="s">
        <v>214</v>
      </c>
      <c r="C64" t="s">
        <v>208</v>
      </c>
      <c r="D64" t="s">
        <v>60</v>
      </c>
      <c r="E64" s="5">
        <v>128</v>
      </c>
      <c r="F64" s="5">
        <v>8.5</v>
      </c>
      <c r="G64" s="5">
        <v>4.7</v>
      </c>
      <c r="H64" s="6">
        <f t="shared" si="3"/>
        <v>131.80000000000001</v>
      </c>
      <c r="I64" s="5">
        <v>1</v>
      </c>
      <c r="J64" s="5">
        <v>2.9</v>
      </c>
      <c r="K64" s="7">
        <v>1.5</v>
      </c>
      <c r="L64" s="7">
        <v>0.2</v>
      </c>
      <c r="M64" s="7">
        <v>0.2</v>
      </c>
      <c r="N64" s="7">
        <v>0.12</v>
      </c>
      <c r="O64" s="5">
        <v>0</v>
      </c>
      <c r="P64" s="6">
        <f t="shared" si="4"/>
        <v>25.6</v>
      </c>
      <c r="Q64" s="6">
        <f t="shared" si="5"/>
        <v>1.7000000000000002</v>
      </c>
      <c r="R64" s="8" t="s">
        <v>215</v>
      </c>
    </row>
    <row r="65" spans="1:18" ht="26" x14ac:dyDescent="0.2">
      <c r="A65" t="s">
        <v>216</v>
      </c>
      <c r="B65" s="4" t="s">
        <v>74</v>
      </c>
      <c r="C65" t="s">
        <v>208</v>
      </c>
      <c r="D65" t="s">
        <v>60</v>
      </c>
      <c r="E65" s="5">
        <v>3000</v>
      </c>
      <c r="F65" s="5">
        <v>150</v>
      </c>
      <c r="G65" s="5">
        <v>120</v>
      </c>
      <c r="H65" s="6">
        <f t="shared" si="3"/>
        <v>3030</v>
      </c>
      <c r="I65" s="5">
        <v>15</v>
      </c>
      <c r="J65" s="5">
        <v>60</v>
      </c>
      <c r="K65" s="7">
        <v>0.8</v>
      </c>
      <c r="L65" s="7">
        <v>7.0000000000000007E-2</v>
      </c>
      <c r="M65" s="7">
        <v>0.15</v>
      </c>
      <c r="N65" s="7">
        <v>0.08</v>
      </c>
      <c r="O65" s="5">
        <v>0</v>
      </c>
      <c r="P65" s="6">
        <f t="shared" si="4"/>
        <v>450</v>
      </c>
      <c r="Q65" s="6">
        <f t="shared" si="5"/>
        <v>22.5</v>
      </c>
      <c r="R65" s="8" t="s">
        <v>217</v>
      </c>
    </row>
    <row r="66" spans="1:18" x14ac:dyDescent="0.2">
      <c r="A66" t="s">
        <v>218</v>
      </c>
      <c r="B66" s="4" t="s">
        <v>219</v>
      </c>
      <c r="C66" t="s">
        <v>208</v>
      </c>
      <c r="D66" t="s">
        <v>151</v>
      </c>
      <c r="E66" s="5">
        <v>306</v>
      </c>
      <c r="F66" s="5">
        <v>35</v>
      </c>
      <c r="G66" s="5">
        <v>60</v>
      </c>
      <c r="H66" s="6">
        <f t="shared" si="3"/>
        <v>281</v>
      </c>
      <c r="I66" s="5">
        <v>20</v>
      </c>
      <c r="J66" s="5">
        <v>8</v>
      </c>
      <c r="K66" s="7">
        <v>1</v>
      </c>
      <c r="L66" s="7">
        <v>0.15</v>
      </c>
      <c r="M66" s="7">
        <v>0.2</v>
      </c>
      <c r="N66" s="7">
        <v>0.12</v>
      </c>
      <c r="O66" s="5">
        <v>0</v>
      </c>
      <c r="P66" s="6">
        <f t="shared" si="4"/>
        <v>61.2</v>
      </c>
      <c r="Q66" s="6">
        <f t="shared" si="5"/>
        <v>7</v>
      </c>
      <c r="R66" s="8" t="s">
        <v>220</v>
      </c>
    </row>
    <row r="67" spans="1:18" x14ac:dyDescent="0.2">
      <c r="A67" t="s">
        <v>221</v>
      </c>
      <c r="B67" s="4" t="s">
        <v>222</v>
      </c>
      <c r="C67" t="s">
        <v>208</v>
      </c>
      <c r="D67" t="s">
        <v>151</v>
      </c>
      <c r="E67" s="5">
        <v>500</v>
      </c>
      <c r="F67" s="5">
        <v>40</v>
      </c>
      <c r="G67" s="5">
        <v>45</v>
      </c>
      <c r="H67" s="6">
        <f t="shared" si="3"/>
        <v>495</v>
      </c>
      <c r="I67" s="5">
        <v>15</v>
      </c>
      <c r="J67" s="5">
        <v>6</v>
      </c>
      <c r="K67" s="7">
        <v>1</v>
      </c>
      <c r="L67" s="7">
        <v>0.1</v>
      </c>
      <c r="M67" s="7">
        <v>0.15</v>
      </c>
      <c r="N67" s="7">
        <v>0.09</v>
      </c>
      <c r="O67" s="5">
        <v>0</v>
      </c>
      <c r="P67" s="6">
        <f t="shared" si="4"/>
        <v>75</v>
      </c>
      <c r="Q67" s="6">
        <f t="shared" si="5"/>
        <v>6</v>
      </c>
      <c r="R67" s="8" t="s">
        <v>144</v>
      </c>
    </row>
    <row r="68" spans="1:18" x14ac:dyDescent="0.2">
      <c r="A68" t="s">
        <v>223</v>
      </c>
      <c r="B68" s="4" t="s">
        <v>74</v>
      </c>
      <c r="C68" t="s">
        <v>208</v>
      </c>
      <c r="D68" t="s">
        <v>151</v>
      </c>
      <c r="E68" s="5">
        <v>200</v>
      </c>
      <c r="F68" s="5">
        <v>30</v>
      </c>
      <c r="G68" s="5">
        <v>20</v>
      </c>
      <c r="H68" s="6">
        <f t="shared" ref="H68:H99" si="6">E68+F68-G68</f>
        <v>210</v>
      </c>
      <c r="I68" s="5">
        <v>5</v>
      </c>
      <c r="J68" s="5">
        <v>4</v>
      </c>
      <c r="K68" s="7">
        <v>0.8</v>
      </c>
      <c r="L68" s="7">
        <v>0.08</v>
      </c>
      <c r="M68" s="7">
        <v>0.1</v>
      </c>
      <c r="N68" s="7">
        <v>0.05</v>
      </c>
      <c r="O68" s="5">
        <v>0</v>
      </c>
      <c r="P68" s="6">
        <f t="shared" ref="P68:P99" si="7">E68*M68-O68</f>
        <v>20</v>
      </c>
      <c r="Q68" s="6">
        <f t="shared" si="5"/>
        <v>3</v>
      </c>
      <c r="R68" s="8" t="s">
        <v>146</v>
      </c>
    </row>
    <row r="69" spans="1:18" x14ac:dyDescent="0.2">
      <c r="A69" t="s">
        <v>224</v>
      </c>
      <c r="B69" s="4" t="s">
        <v>74</v>
      </c>
      <c r="C69" t="s">
        <v>208</v>
      </c>
      <c r="D69" t="s">
        <v>132</v>
      </c>
      <c r="E69" s="5">
        <v>900</v>
      </c>
      <c r="F69" s="5">
        <v>100</v>
      </c>
      <c r="G69" s="5">
        <v>80</v>
      </c>
      <c r="H69" s="6">
        <f t="shared" si="6"/>
        <v>920</v>
      </c>
      <c r="I69" s="5">
        <v>10</v>
      </c>
      <c r="J69" s="5">
        <v>15</v>
      </c>
      <c r="K69" s="7">
        <v>0.6</v>
      </c>
      <c r="L69" s="7">
        <v>0.08</v>
      </c>
      <c r="M69" s="7">
        <v>0.13</v>
      </c>
      <c r="N69" s="7">
        <v>7.0000000000000007E-2</v>
      </c>
      <c r="O69" s="5">
        <v>0</v>
      </c>
      <c r="P69" s="6">
        <f t="shared" si="7"/>
        <v>117</v>
      </c>
      <c r="Q69" s="6">
        <f t="shared" si="5"/>
        <v>13</v>
      </c>
      <c r="R69" s="8" t="s">
        <v>146</v>
      </c>
    </row>
    <row r="71" spans="1:18" x14ac:dyDescent="0.2">
      <c r="A71" s="9" t="s">
        <v>225</v>
      </c>
    </row>
    <row r="72" spans="1:18" x14ac:dyDescent="0.2">
      <c r="A72" s="4" t="s">
        <v>226</v>
      </c>
      <c r="C72" s="7">
        <v>0.28000000000000003</v>
      </c>
    </row>
    <row r="73" spans="1:18" x14ac:dyDescent="0.2">
      <c r="A73" s="10" t="s">
        <v>41</v>
      </c>
      <c r="B73" s="10" t="s">
        <v>42</v>
      </c>
      <c r="C73" s="10" t="s">
        <v>227</v>
      </c>
      <c r="D73" s="10" t="s">
        <v>228</v>
      </c>
      <c r="E73" s="10" t="s">
        <v>229</v>
      </c>
      <c r="F73" s="10" t="s">
        <v>230</v>
      </c>
      <c r="G73" s="10" t="s">
        <v>231</v>
      </c>
    </row>
    <row r="74" spans="1:18" x14ac:dyDescent="0.2">
      <c r="A74" t="s">
        <v>59</v>
      </c>
      <c r="B74" t="s">
        <v>60</v>
      </c>
      <c r="C74" s="11">
        <f t="shared" ref="C74:C85" si="8">SUMIFS($P$4:$P$69,$C$4:$C$69,A74,$D$4:$D$69,B74)</f>
        <v>11996.140000000003</v>
      </c>
      <c r="D74" s="6">
        <f t="shared" ref="D74:D85" si="9">SUMIFS($Q$4:$Q$69,$C$4:$C$69,A74,$D$4:$D$69,B74)</f>
        <v>483.29500000000013</v>
      </c>
      <c r="E74" s="7">
        <v>0.25</v>
      </c>
      <c r="F74" s="12">
        <f t="shared" ref="F74:F85" si="10">C74/(1+E74)</f>
        <v>9596.9120000000021</v>
      </c>
      <c r="G74" s="13">
        <f t="shared" ref="G74:G85" si="11">D74/(1+$C$72)</f>
        <v>377.57421875000011</v>
      </c>
    </row>
    <row r="75" spans="1:18" x14ac:dyDescent="0.2">
      <c r="A75" t="s">
        <v>59</v>
      </c>
      <c r="B75" t="s">
        <v>151</v>
      </c>
      <c r="C75" s="11">
        <f t="shared" si="8"/>
        <v>466.1</v>
      </c>
      <c r="D75" s="6">
        <f t="shared" si="9"/>
        <v>34.9</v>
      </c>
      <c r="E75" s="7">
        <v>0.55000000000000004</v>
      </c>
      <c r="F75" s="12">
        <f t="shared" si="10"/>
        <v>300.70967741935482</v>
      </c>
      <c r="G75" s="13">
        <f t="shared" si="11"/>
        <v>27.265625</v>
      </c>
    </row>
    <row r="76" spans="1:18" x14ac:dyDescent="0.2">
      <c r="A76" t="s">
        <v>59</v>
      </c>
      <c r="B76" t="s">
        <v>132</v>
      </c>
      <c r="C76" s="11">
        <f t="shared" si="8"/>
        <v>2763.05</v>
      </c>
      <c r="D76" s="6">
        <f t="shared" si="9"/>
        <v>41.180000000000007</v>
      </c>
      <c r="E76" s="7">
        <v>0.4</v>
      </c>
      <c r="F76" s="12">
        <f t="shared" si="10"/>
        <v>1973.6071428571431</v>
      </c>
      <c r="G76" s="13">
        <f t="shared" si="11"/>
        <v>32.171875000000007</v>
      </c>
    </row>
    <row r="77" spans="1:18" x14ac:dyDescent="0.2">
      <c r="A77" t="s">
        <v>194</v>
      </c>
      <c r="B77" t="s">
        <v>60</v>
      </c>
      <c r="C77" s="11">
        <f t="shared" si="8"/>
        <v>89.575000000000003</v>
      </c>
      <c r="D77" s="6">
        <f t="shared" si="9"/>
        <v>0</v>
      </c>
      <c r="E77" s="7">
        <v>0.2</v>
      </c>
      <c r="F77" s="12">
        <f t="shared" si="10"/>
        <v>74.645833333333343</v>
      </c>
      <c r="G77" s="13">
        <f t="shared" si="11"/>
        <v>0</v>
      </c>
    </row>
    <row r="78" spans="1:18" x14ac:dyDescent="0.2">
      <c r="A78" t="s">
        <v>194</v>
      </c>
      <c r="B78" t="s">
        <v>151</v>
      </c>
      <c r="C78" s="11">
        <f t="shared" si="8"/>
        <v>15</v>
      </c>
      <c r="D78" s="6">
        <f t="shared" si="9"/>
        <v>0</v>
      </c>
      <c r="E78" s="7">
        <v>0.2</v>
      </c>
      <c r="F78" s="12">
        <f t="shared" si="10"/>
        <v>12.5</v>
      </c>
      <c r="G78" s="13">
        <f t="shared" si="11"/>
        <v>0</v>
      </c>
    </row>
    <row r="79" spans="1:18" x14ac:dyDescent="0.2">
      <c r="A79" t="s">
        <v>194</v>
      </c>
      <c r="B79" t="s">
        <v>132</v>
      </c>
      <c r="C79" s="11">
        <f t="shared" si="8"/>
        <v>10</v>
      </c>
      <c r="D79" s="6">
        <f t="shared" si="9"/>
        <v>0</v>
      </c>
      <c r="E79" s="7">
        <v>0.2</v>
      </c>
      <c r="F79" s="12">
        <f t="shared" si="10"/>
        <v>8.3333333333333339</v>
      </c>
      <c r="G79" s="13">
        <f t="shared" si="11"/>
        <v>0</v>
      </c>
    </row>
    <row r="80" spans="1:18" x14ac:dyDescent="0.2">
      <c r="A80" t="s">
        <v>165</v>
      </c>
      <c r="B80" t="s">
        <v>60</v>
      </c>
      <c r="C80" s="11">
        <f t="shared" si="8"/>
        <v>2249</v>
      </c>
      <c r="D80" s="6">
        <f t="shared" si="9"/>
        <v>5</v>
      </c>
      <c r="E80" s="7">
        <v>0.75</v>
      </c>
      <c r="F80" s="12">
        <f t="shared" si="10"/>
        <v>1285.1428571428571</v>
      </c>
      <c r="G80" s="13">
        <f t="shared" si="11"/>
        <v>3.90625</v>
      </c>
    </row>
    <row r="81" spans="1:7" x14ac:dyDescent="0.2">
      <c r="A81" t="s">
        <v>165</v>
      </c>
      <c r="B81" t="s">
        <v>151</v>
      </c>
      <c r="C81" s="11">
        <f t="shared" si="8"/>
        <v>258</v>
      </c>
      <c r="D81" s="6">
        <f t="shared" si="9"/>
        <v>0</v>
      </c>
      <c r="E81" s="7">
        <v>1.5</v>
      </c>
      <c r="F81" s="12">
        <f t="shared" si="10"/>
        <v>103.2</v>
      </c>
      <c r="G81" s="13">
        <f t="shared" si="11"/>
        <v>0</v>
      </c>
    </row>
    <row r="82" spans="1:7" x14ac:dyDescent="0.2">
      <c r="A82" t="s">
        <v>165</v>
      </c>
      <c r="B82" t="s">
        <v>132</v>
      </c>
      <c r="C82" s="11">
        <f t="shared" si="8"/>
        <v>42</v>
      </c>
      <c r="D82" s="6">
        <f t="shared" si="9"/>
        <v>0.8</v>
      </c>
      <c r="E82" s="7">
        <v>0.3</v>
      </c>
      <c r="F82" s="12">
        <f t="shared" si="10"/>
        <v>32.307692307692307</v>
      </c>
      <c r="G82" s="13">
        <f t="shared" si="11"/>
        <v>0.625</v>
      </c>
    </row>
    <row r="83" spans="1:7" x14ac:dyDescent="0.2">
      <c r="A83" t="s">
        <v>208</v>
      </c>
      <c r="B83" t="s">
        <v>60</v>
      </c>
      <c r="C83" s="11">
        <f t="shared" si="8"/>
        <v>792.34999999999991</v>
      </c>
      <c r="D83" s="6">
        <f t="shared" si="9"/>
        <v>30.73</v>
      </c>
      <c r="E83" s="7">
        <v>0.1</v>
      </c>
      <c r="F83" s="12">
        <f t="shared" si="10"/>
        <v>720.31818181818164</v>
      </c>
      <c r="G83" s="13">
        <f t="shared" si="11"/>
        <v>24.0078125</v>
      </c>
    </row>
    <row r="84" spans="1:7" x14ac:dyDescent="0.2">
      <c r="A84" t="s">
        <v>208</v>
      </c>
      <c r="B84" t="s">
        <v>151</v>
      </c>
      <c r="C84" s="11">
        <f t="shared" si="8"/>
        <v>156.19999999999999</v>
      </c>
      <c r="D84" s="6">
        <f t="shared" si="9"/>
        <v>16</v>
      </c>
      <c r="E84" s="7">
        <v>0.1</v>
      </c>
      <c r="F84" s="12">
        <f t="shared" si="10"/>
        <v>141.99999999999997</v>
      </c>
      <c r="G84" s="13">
        <f t="shared" si="11"/>
        <v>12.5</v>
      </c>
    </row>
    <row r="85" spans="1:7" x14ac:dyDescent="0.2">
      <c r="A85" t="s">
        <v>208</v>
      </c>
      <c r="B85" t="s">
        <v>132</v>
      </c>
      <c r="C85" s="11">
        <f t="shared" si="8"/>
        <v>117</v>
      </c>
      <c r="D85" s="6">
        <f t="shared" si="9"/>
        <v>13</v>
      </c>
      <c r="E85" s="7">
        <v>0.08</v>
      </c>
      <c r="F85" s="12">
        <f t="shared" si="10"/>
        <v>108.33333333333333</v>
      </c>
      <c r="G85" s="13">
        <f t="shared" si="11"/>
        <v>10.15625</v>
      </c>
    </row>
    <row r="87" spans="1:7" x14ac:dyDescent="0.2">
      <c r="A87" s="14" t="s">
        <v>232</v>
      </c>
    </row>
    <row r="88" spans="1:7" x14ac:dyDescent="0.2">
      <c r="A88" t="s">
        <v>59</v>
      </c>
      <c r="C88" s="15">
        <f>SUMPRODUCT(($C$4:$C$69=A88)*$E$4:$E$69*$N$4:$N$69)/SUMPRODUCT(($C$4:$C$69=A88)*$E$4:$E$69*$M$4:$M$69)</f>
        <v>0.65039920254306316</v>
      </c>
      <c r="D88" s="4" t="s">
        <v>233</v>
      </c>
    </row>
    <row r="89" spans="1:7" x14ac:dyDescent="0.2">
      <c r="A89" t="s">
        <v>194</v>
      </c>
      <c r="C89" s="15">
        <f>SUMPRODUCT(($C$4:$C$69=A89)*$E$4:$E$69*$N$4:$N$69)/SUMPRODUCT(($C$4:$C$69=A89)*$E$4:$E$69*$M$4:$M$69)</f>
        <v>0.69906174994545056</v>
      </c>
      <c r="D89" s="4" t="s">
        <v>234</v>
      </c>
    </row>
    <row r="90" spans="1:7" x14ac:dyDescent="0.2">
      <c r="A90" t="s">
        <v>165</v>
      </c>
      <c r="C90" s="15">
        <f>SUMPRODUCT(($C$4:$C$69=A90)*$E$4:$E$69*$N$4:$N$69)/SUMPRODUCT(($C$4:$C$69=A90)*$E$4:$E$69*$M$4:$M$69)</f>
        <v>0.8490602975724354</v>
      </c>
      <c r="D90" s="4" t="s">
        <v>235</v>
      </c>
    </row>
    <row r="91" spans="1:7" x14ac:dyDescent="0.2">
      <c r="A91" t="s">
        <v>208</v>
      </c>
      <c r="C91" s="15">
        <f>SUMPRODUCT(($C$4:$C$69=A91)*$E$4:$E$69*$N$4:$N$69)/SUMPRODUCT(($C$4:$C$69=A91)*$E$4:$E$69*$M$4:$M$69)</f>
        <v>0.576491014030313</v>
      </c>
      <c r="D91" s="4" t="s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237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x14ac:dyDescent="0.2">
      <c r="A4" s="17" t="s">
        <v>256</v>
      </c>
      <c r="B4" t="s">
        <v>257</v>
      </c>
      <c r="C4" s="18">
        <v>26055</v>
      </c>
      <c r="D4" s="18">
        <v>27812</v>
      </c>
      <c r="E4" s="18">
        <v>29298</v>
      </c>
      <c r="F4" s="18">
        <v>30767</v>
      </c>
      <c r="G4" s="18">
        <v>32384</v>
      </c>
      <c r="H4" s="19">
        <v>33790</v>
      </c>
      <c r="I4" s="19">
        <v>35066</v>
      </c>
      <c r="J4" s="19">
        <v>36361</v>
      </c>
      <c r="K4" s="19">
        <v>37678</v>
      </c>
      <c r="L4" s="19">
        <v>39031</v>
      </c>
      <c r="M4" s="20"/>
      <c r="N4" s="20"/>
      <c r="O4" s="20"/>
      <c r="P4" s="20"/>
      <c r="Q4" s="4" t="s">
        <v>258</v>
      </c>
      <c r="R4" s="8" t="s">
        <v>259</v>
      </c>
    </row>
    <row r="5" spans="1:18" x14ac:dyDescent="0.2">
      <c r="A5" s="17" t="s">
        <v>260</v>
      </c>
      <c r="B5" t="s">
        <v>261</v>
      </c>
      <c r="C5" s="18">
        <v>18338</v>
      </c>
      <c r="D5" s="18">
        <v>18367</v>
      </c>
      <c r="E5" s="18">
        <v>18945</v>
      </c>
      <c r="F5" s="18">
        <v>19626</v>
      </c>
      <c r="G5" s="18">
        <v>20852</v>
      </c>
      <c r="H5" s="19">
        <v>21929</v>
      </c>
      <c r="I5" s="19">
        <v>23260</v>
      </c>
      <c r="J5" s="19">
        <v>24663</v>
      </c>
      <c r="K5" s="19">
        <v>26047</v>
      </c>
      <c r="L5" s="19">
        <v>27497</v>
      </c>
      <c r="M5" s="20"/>
      <c r="N5" s="20"/>
      <c r="O5" s="20"/>
      <c r="P5" s="20"/>
      <c r="Q5" s="4" t="s">
        <v>258</v>
      </c>
      <c r="R5" s="8" t="s">
        <v>262</v>
      </c>
    </row>
    <row r="6" spans="1:18" x14ac:dyDescent="0.2">
      <c r="A6" s="17" t="s">
        <v>263</v>
      </c>
      <c r="B6" t="s">
        <v>264</v>
      </c>
      <c r="C6" s="18">
        <v>58278</v>
      </c>
      <c r="D6" s="18">
        <v>61067</v>
      </c>
      <c r="E6" s="18">
        <v>63355</v>
      </c>
      <c r="F6" s="18">
        <v>67782</v>
      </c>
      <c r="G6" s="18">
        <v>73060</v>
      </c>
      <c r="H6" s="19">
        <v>76172</v>
      </c>
      <c r="I6" s="19">
        <v>79803</v>
      </c>
      <c r="J6" s="19">
        <v>83646</v>
      </c>
      <c r="K6" s="19">
        <v>87664</v>
      </c>
      <c r="L6" s="19">
        <v>91864</v>
      </c>
      <c r="M6" s="20"/>
      <c r="N6" s="20"/>
      <c r="O6" s="20"/>
      <c r="P6" s="20"/>
      <c r="Q6" s="4" t="s">
        <v>258</v>
      </c>
      <c r="R6" s="8" t="s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266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x14ac:dyDescent="0.2">
      <c r="A4" s="17" t="s">
        <v>267</v>
      </c>
      <c r="B4" t="s">
        <v>268</v>
      </c>
      <c r="C4" s="18">
        <v>53000</v>
      </c>
      <c r="D4" s="18">
        <v>40510</v>
      </c>
      <c r="E4" s="18">
        <v>50780</v>
      </c>
      <c r="F4" s="18">
        <v>62200</v>
      </c>
      <c r="G4" s="18">
        <v>68940</v>
      </c>
      <c r="H4" s="20"/>
      <c r="I4" s="20"/>
      <c r="J4" s="20"/>
      <c r="K4" s="20"/>
      <c r="L4" s="20"/>
      <c r="M4" s="20"/>
      <c r="N4" s="20"/>
      <c r="O4" s="20"/>
      <c r="P4" s="20"/>
      <c r="Q4" s="4" t="s">
        <v>269</v>
      </c>
      <c r="R4" s="8" t="s">
        <v>270</v>
      </c>
    </row>
    <row r="5" spans="1:18" x14ac:dyDescent="0.2">
      <c r="A5" s="17" t="s">
        <v>271</v>
      </c>
      <c r="B5" t="s">
        <v>272</v>
      </c>
      <c r="C5" s="18">
        <v>13200</v>
      </c>
      <c r="D5" s="18">
        <v>11470</v>
      </c>
      <c r="E5" s="18">
        <v>10940</v>
      </c>
      <c r="F5" s="18">
        <v>11760</v>
      </c>
      <c r="G5" s="18">
        <v>15510</v>
      </c>
      <c r="H5" s="20"/>
      <c r="I5" s="20"/>
      <c r="J5" s="20"/>
      <c r="K5" s="20"/>
      <c r="L5" s="20"/>
      <c r="M5" s="20"/>
      <c r="N5" s="20"/>
      <c r="O5" s="20"/>
      <c r="P5" s="20"/>
      <c r="Q5" s="4" t="s">
        <v>269</v>
      </c>
      <c r="R5" s="8" t="s">
        <v>273</v>
      </c>
    </row>
    <row r="6" spans="1:18" x14ac:dyDescent="0.2">
      <c r="A6" s="17" t="s">
        <v>274</v>
      </c>
      <c r="B6" t="s">
        <v>275</v>
      </c>
      <c r="C6" s="18">
        <v>45800</v>
      </c>
      <c r="D6" s="18">
        <v>41520</v>
      </c>
      <c r="E6" s="18">
        <v>41180</v>
      </c>
      <c r="F6" s="18">
        <v>41140</v>
      </c>
      <c r="G6" s="18">
        <v>56850</v>
      </c>
      <c r="H6" s="20"/>
      <c r="I6" s="20"/>
      <c r="J6" s="20"/>
      <c r="K6" s="20"/>
      <c r="L6" s="20"/>
      <c r="M6" s="20"/>
      <c r="N6" s="20"/>
      <c r="O6" s="20"/>
      <c r="P6" s="20"/>
      <c r="Q6" s="4" t="s">
        <v>269</v>
      </c>
      <c r="R6" s="8" t="s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277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26" x14ac:dyDescent="0.2">
      <c r="A4" s="17" t="s">
        <v>278</v>
      </c>
      <c r="B4" t="s">
        <v>279</v>
      </c>
      <c r="C4" s="18">
        <v>0.15</v>
      </c>
      <c r="D4" s="18">
        <v>0.41</v>
      </c>
      <c r="E4" s="18">
        <v>1.5</v>
      </c>
      <c r="F4" s="18">
        <v>4.9000000000000004</v>
      </c>
      <c r="G4" s="18">
        <v>15</v>
      </c>
      <c r="H4" s="19">
        <v>33.799999999999997</v>
      </c>
      <c r="I4" s="19">
        <v>67.5</v>
      </c>
      <c r="J4" s="19">
        <v>124.8</v>
      </c>
      <c r="K4" s="20"/>
      <c r="L4" s="20"/>
      <c r="M4" s="20"/>
      <c r="N4" s="20"/>
      <c r="O4" s="20"/>
      <c r="P4" s="20"/>
      <c r="Q4" s="4" t="s">
        <v>280</v>
      </c>
      <c r="R4" s="8" t="s">
        <v>281</v>
      </c>
    </row>
    <row r="5" spans="1:18" x14ac:dyDescent="0.2">
      <c r="A5" s="17" t="s">
        <v>282</v>
      </c>
      <c r="B5" t="s">
        <v>283</v>
      </c>
      <c r="C5" s="18">
        <v>0.02</v>
      </c>
      <c r="D5" s="18">
        <v>0.06</v>
      </c>
      <c r="E5" s="18">
        <v>0.25</v>
      </c>
      <c r="F5" s="18">
        <v>0.85</v>
      </c>
      <c r="G5" s="18">
        <v>2.6</v>
      </c>
      <c r="H5" s="19">
        <v>5.4</v>
      </c>
      <c r="I5" s="19">
        <v>9.9</v>
      </c>
      <c r="J5" s="19">
        <v>16.600000000000001</v>
      </c>
      <c r="K5" s="20"/>
      <c r="L5" s="20"/>
      <c r="M5" s="20"/>
      <c r="N5" s="20"/>
      <c r="O5" s="20"/>
      <c r="P5" s="20"/>
      <c r="Q5" s="4" t="s">
        <v>280</v>
      </c>
      <c r="R5" s="8" t="s">
        <v>284</v>
      </c>
    </row>
    <row r="6" spans="1:18" x14ac:dyDescent="0.2">
      <c r="A6" s="17" t="s">
        <v>285</v>
      </c>
      <c r="B6" t="s">
        <v>286</v>
      </c>
      <c r="C6" s="18">
        <v>0.03</v>
      </c>
      <c r="D6" s="18">
        <v>0.08</v>
      </c>
      <c r="E6" s="18">
        <v>0.25</v>
      </c>
      <c r="F6" s="18">
        <v>0.75</v>
      </c>
      <c r="G6" s="18">
        <v>2.4</v>
      </c>
      <c r="H6" s="19">
        <v>5.8</v>
      </c>
      <c r="I6" s="19">
        <v>12.6</v>
      </c>
      <c r="J6" s="19">
        <v>25</v>
      </c>
      <c r="K6" s="20"/>
      <c r="L6" s="20"/>
      <c r="M6" s="20"/>
      <c r="N6" s="20"/>
      <c r="O6" s="20"/>
      <c r="P6" s="20"/>
      <c r="Q6" s="4" t="s">
        <v>280</v>
      </c>
      <c r="R6" s="8" t="s">
        <v>287</v>
      </c>
    </row>
    <row r="7" spans="1:18" ht="26" x14ac:dyDescent="0.2">
      <c r="A7" s="17" t="s">
        <v>288</v>
      </c>
      <c r="B7" t="s">
        <v>289</v>
      </c>
      <c r="C7" s="18">
        <v>8</v>
      </c>
      <c r="D7" s="18">
        <v>5.5</v>
      </c>
      <c r="E7" s="18">
        <v>3.5</v>
      </c>
      <c r="F7" s="18">
        <v>2.2000000000000002</v>
      </c>
      <c r="G7" s="18">
        <v>2</v>
      </c>
      <c r="H7" s="19">
        <v>1.8</v>
      </c>
      <c r="I7" s="19">
        <v>1.8</v>
      </c>
      <c r="J7" s="19">
        <v>1.8</v>
      </c>
      <c r="K7" s="20"/>
      <c r="L7" s="20"/>
      <c r="M7" s="20"/>
      <c r="N7" s="20"/>
      <c r="O7" s="20"/>
      <c r="P7" s="20"/>
      <c r="Q7" s="4" t="s">
        <v>290</v>
      </c>
      <c r="R7" s="8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292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26" x14ac:dyDescent="0.2">
      <c r="A4" s="17" t="s">
        <v>293</v>
      </c>
      <c r="B4" t="s">
        <v>294</v>
      </c>
      <c r="C4" s="18">
        <v>105</v>
      </c>
      <c r="D4" s="18">
        <v>117</v>
      </c>
      <c r="E4" s="18">
        <v>126</v>
      </c>
      <c r="F4" s="18">
        <v>142</v>
      </c>
      <c r="G4" s="18">
        <v>155</v>
      </c>
      <c r="H4" s="20"/>
      <c r="I4" s="20"/>
      <c r="J4" s="20"/>
      <c r="K4" s="20"/>
      <c r="L4" s="20"/>
      <c r="M4" s="20"/>
      <c r="N4" s="20"/>
      <c r="O4" s="20"/>
      <c r="P4" s="20"/>
      <c r="Q4" s="4" t="s">
        <v>295</v>
      </c>
      <c r="R4" s="8" t="s">
        <v>296</v>
      </c>
    </row>
    <row r="5" spans="1:18" ht="26" x14ac:dyDescent="0.2">
      <c r="A5" s="17" t="s">
        <v>297</v>
      </c>
      <c r="B5" t="s">
        <v>298</v>
      </c>
      <c r="C5" s="18">
        <v>92</v>
      </c>
      <c r="D5" s="18">
        <v>102</v>
      </c>
      <c r="E5" s="18">
        <v>117</v>
      </c>
      <c r="F5" s="18">
        <v>136.5</v>
      </c>
      <c r="G5" s="18">
        <v>148</v>
      </c>
      <c r="H5" s="20"/>
      <c r="I5" s="20"/>
      <c r="J5" s="20"/>
      <c r="K5" s="20"/>
      <c r="L5" s="20"/>
      <c r="M5" s="20"/>
      <c r="N5" s="20"/>
      <c r="O5" s="20"/>
      <c r="P5" s="20"/>
      <c r="Q5" s="4" t="s">
        <v>295</v>
      </c>
      <c r="R5" s="8" t="s">
        <v>299</v>
      </c>
    </row>
    <row r="6" spans="1:18" x14ac:dyDescent="0.2">
      <c r="A6" s="17" t="s">
        <v>300</v>
      </c>
      <c r="B6" t="s">
        <v>301</v>
      </c>
      <c r="C6" s="18">
        <v>92</v>
      </c>
      <c r="D6" s="18">
        <v>102</v>
      </c>
      <c r="E6" s="18">
        <v>117</v>
      </c>
      <c r="F6" s="18">
        <v>136.5</v>
      </c>
      <c r="G6" s="18">
        <v>148</v>
      </c>
      <c r="H6" s="20"/>
      <c r="I6" s="20"/>
      <c r="J6" s="20"/>
      <c r="K6" s="20"/>
      <c r="L6" s="20"/>
      <c r="M6" s="20"/>
      <c r="N6" s="20"/>
      <c r="O6" s="20"/>
      <c r="P6" s="20"/>
      <c r="Q6" s="4" t="s">
        <v>295</v>
      </c>
      <c r="R6" s="8" t="s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303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39" x14ac:dyDescent="0.2">
      <c r="A4" s="17" t="s">
        <v>304</v>
      </c>
      <c r="B4" t="s">
        <v>305</v>
      </c>
      <c r="C4" s="18">
        <v>129</v>
      </c>
      <c r="D4" s="18">
        <v>220</v>
      </c>
      <c r="E4" s="18">
        <v>374</v>
      </c>
      <c r="F4" s="18">
        <v>635</v>
      </c>
      <c r="G4" s="18">
        <v>1000</v>
      </c>
      <c r="H4" s="19">
        <v>1600</v>
      </c>
      <c r="I4" s="19">
        <v>2400</v>
      </c>
      <c r="J4" s="19">
        <v>3200</v>
      </c>
      <c r="K4" s="20"/>
      <c r="L4" s="20"/>
      <c r="M4" s="20"/>
      <c r="N4" s="20"/>
      <c r="O4" s="20"/>
      <c r="P4" s="20"/>
      <c r="Q4" s="4" t="s">
        <v>258</v>
      </c>
      <c r="R4" s="8" t="s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307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26" x14ac:dyDescent="0.2">
      <c r="A4" s="17" t="s">
        <v>308</v>
      </c>
      <c r="B4" t="s">
        <v>309</v>
      </c>
      <c r="C4" s="18">
        <v>600</v>
      </c>
      <c r="D4" s="18">
        <v>450</v>
      </c>
      <c r="E4" s="18">
        <v>2500</v>
      </c>
      <c r="F4" s="18">
        <v>6000</v>
      </c>
      <c r="G4" s="21">
        <f>Companies!F74</f>
        <v>9596.9120000000021</v>
      </c>
      <c r="H4" s="20"/>
      <c r="I4" s="20"/>
      <c r="J4" s="20"/>
      <c r="K4" s="20"/>
      <c r="L4" s="20"/>
      <c r="M4" s="20"/>
      <c r="N4" s="20"/>
      <c r="O4" s="20"/>
      <c r="P4" s="20"/>
      <c r="Q4" s="4" t="s">
        <v>269</v>
      </c>
      <c r="R4" s="8" t="s">
        <v>310</v>
      </c>
    </row>
    <row r="5" spans="1:18" ht="26" x14ac:dyDescent="0.2">
      <c r="A5" s="17" t="s">
        <v>311</v>
      </c>
      <c r="B5" t="s">
        <v>312</v>
      </c>
      <c r="C5" s="18">
        <v>15</v>
      </c>
      <c r="D5" s="18">
        <v>15</v>
      </c>
      <c r="E5" s="18">
        <v>60</v>
      </c>
      <c r="F5" s="18">
        <v>150</v>
      </c>
      <c r="G5" s="21">
        <f>Companies!F75</f>
        <v>300.70967741935482</v>
      </c>
      <c r="H5" s="20"/>
      <c r="I5" s="20"/>
      <c r="J5" s="20"/>
      <c r="K5" s="20"/>
      <c r="L5" s="20"/>
      <c r="M5" s="20"/>
      <c r="N5" s="20"/>
      <c r="O5" s="20"/>
      <c r="P5" s="20"/>
      <c r="Q5" s="4" t="s">
        <v>269</v>
      </c>
      <c r="R5" s="8" t="s">
        <v>310</v>
      </c>
    </row>
    <row r="6" spans="1:18" ht="26" x14ac:dyDescent="0.2">
      <c r="A6" s="17" t="s">
        <v>313</v>
      </c>
      <c r="B6" t="s">
        <v>314</v>
      </c>
      <c r="C6" s="18">
        <v>250</v>
      </c>
      <c r="D6" s="18">
        <v>200</v>
      </c>
      <c r="E6" s="18">
        <v>400</v>
      </c>
      <c r="F6" s="18">
        <v>850</v>
      </c>
      <c r="G6" s="21">
        <f>Companies!F76</f>
        <v>1973.6071428571431</v>
      </c>
      <c r="H6" s="20"/>
      <c r="I6" s="20"/>
      <c r="J6" s="20"/>
      <c r="K6" s="20"/>
      <c r="L6" s="20"/>
      <c r="M6" s="20"/>
      <c r="N6" s="20"/>
      <c r="O6" s="20"/>
      <c r="P6" s="20"/>
      <c r="Q6" s="4" t="s">
        <v>269</v>
      </c>
      <c r="R6" s="8" t="s">
        <v>310</v>
      </c>
    </row>
    <row r="7" spans="1:18" ht="26" x14ac:dyDescent="0.2">
      <c r="A7" s="17" t="s">
        <v>315</v>
      </c>
      <c r="B7" t="s">
        <v>316</v>
      </c>
      <c r="C7" s="18">
        <v>8</v>
      </c>
      <c r="D7" s="18">
        <v>10</v>
      </c>
      <c r="E7" s="18">
        <v>18</v>
      </c>
      <c r="F7" s="18">
        <v>35</v>
      </c>
      <c r="G7" s="21">
        <f>Companies!F77</f>
        <v>74.645833333333343</v>
      </c>
      <c r="H7" s="20"/>
      <c r="I7" s="20"/>
      <c r="J7" s="20"/>
      <c r="K7" s="20"/>
      <c r="L7" s="20"/>
      <c r="M7" s="20"/>
      <c r="N7" s="20"/>
      <c r="O7" s="20"/>
      <c r="P7" s="20"/>
      <c r="Q7" s="4" t="s">
        <v>269</v>
      </c>
      <c r="R7" s="8" t="s">
        <v>310</v>
      </c>
    </row>
    <row r="8" spans="1:18" ht="26" x14ac:dyDescent="0.2">
      <c r="A8" s="17" t="s">
        <v>317</v>
      </c>
      <c r="B8" t="s">
        <v>318</v>
      </c>
      <c r="C8" s="18">
        <v>2</v>
      </c>
      <c r="D8" s="18">
        <v>2</v>
      </c>
      <c r="E8" s="18">
        <v>4</v>
      </c>
      <c r="F8" s="18">
        <v>8</v>
      </c>
      <c r="G8" s="21">
        <f>Companies!F78</f>
        <v>12.5</v>
      </c>
      <c r="H8" s="20"/>
      <c r="I8" s="20"/>
      <c r="J8" s="20"/>
      <c r="K8" s="20"/>
      <c r="L8" s="20"/>
      <c r="M8" s="20"/>
      <c r="N8" s="20"/>
      <c r="O8" s="20"/>
      <c r="P8" s="20"/>
      <c r="Q8" s="4" t="s">
        <v>269</v>
      </c>
      <c r="R8" s="8" t="s">
        <v>310</v>
      </c>
    </row>
    <row r="9" spans="1:18" ht="26" x14ac:dyDescent="0.2">
      <c r="A9" s="17" t="s">
        <v>319</v>
      </c>
      <c r="B9" t="s">
        <v>320</v>
      </c>
      <c r="C9" s="18">
        <v>1</v>
      </c>
      <c r="D9" s="18">
        <v>1</v>
      </c>
      <c r="E9" s="18">
        <v>2</v>
      </c>
      <c r="F9" s="18">
        <v>5</v>
      </c>
      <c r="G9" s="21">
        <f>Companies!F79</f>
        <v>8.3333333333333339</v>
      </c>
      <c r="H9" s="20"/>
      <c r="I9" s="20"/>
      <c r="J9" s="20"/>
      <c r="K9" s="20"/>
      <c r="L9" s="20"/>
      <c r="M9" s="20"/>
      <c r="N9" s="20"/>
      <c r="O9" s="20"/>
      <c r="P9" s="20"/>
      <c r="Q9" s="4" t="s">
        <v>269</v>
      </c>
      <c r="R9" s="8" t="s">
        <v>310</v>
      </c>
    </row>
    <row r="10" spans="1:18" ht="26" x14ac:dyDescent="0.2">
      <c r="A10" s="17" t="s">
        <v>321</v>
      </c>
      <c r="B10" t="s">
        <v>322</v>
      </c>
      <c r="C10" s="18">
        <v>40</v>
      </c>
      <c r="D10" s="18">
        <v>60</v>
      </c>
      <c r="E10" s="18">
        <v>180</v>
      </c>
      <c r="F10" s="18">
        <v>320</v>
      </c>
      <c r="G10" s="21">
        <f>Companies!F80</f>
        <v>1285.1428571428571</v>
      </c>
      <c r="H10" s="20"/>
      <c r="I10" s="20"/>
      <c r="J10" s="20"/>
      <c r="K10" s="20"/>
      <c r="L10" s="20"/>
      <c r="M10" s="20"/>
      <c r="N10" s="20"/>
      <c r="O10" s="20"/>
      <c r="P10" s="20"/>
      <c r="Q10" s="4" t="s">
        <v>269</v>
      </c>
      <c r="R10" s="8" t="s">
        <v>310</v>
      </c>
    </row>
    <row r="11" spans="1:18" ht="26" x14ac:dyDescent="0.2">
      <c r="A11" s="17" t="s">
        <v>323</v>
      </c>
      <c r="B11" t="s">
        <v>324</v>
      </c>
      <c r="C11" s="18">
        <v>2</v>
      </c>
      <c r="D11" s="18">
        <v>5</v>
      </c>
      <c r="E11" s="18">
        <v>15</v>
      </c>
      <c r="F11" s="18">
        <v>40</v>
      </c>
      <c r="G11" s="21">
        <f>Companies!F81</f>
        <v>103.2</v>
      </c>
      <c r="H11" s="20"/>
      <c r="I11" s="20"/>
      <c r="J11" s="20"/>
      <c r="K11" s="20"/>
      <c r="L11" s="20"/>
      <c r="M11" s="20"/>
      <c r="N11" s="20"/>
      <c r="O11" s="20"/>
      <c r="P11" s="20"/>
      <c r="Q11" s="4" t="s">
        <v>269</v>
      </c>
      <c r="R11" s="8" t="s">
        <v>310</v>
      </c>
    </row>
    <row r="12" spans="1:18" ht="26" x14ac:dyDescent="0.2">
      <c r="A12" s="17" t="s">
        <v>325</v>
      </c>
      <c r="B12" t="s">
        <v>326</v>
      </c>
      <c r="C12" s="18">
        <v>1</v>
      </c>
      <c r="D12" s="18">
        <v>3</v>
      </c>
      <c r="E12" s="18">
        <v>10</v>
      </c>
      <c r="F12" s="18">
        <v>25</v>
      </c>
      <c r="G12" s="21">
        <f>Companies!F82</f>
        <v>32.307692307692307</v>
      </c>
      <c r="H12" s="20"/>
      <c r="I12" s="20"/>
      <c r="J12" s="20"/>
      <c r="K12" s="20"/>
      <c r="L12" s="20"/>
      <c r="M12" s="20"/>
      <c r="N12" s="20"/>
      <c r="O12" s="20"/>
      <c r="P12" s="20"/>
      <c r="Q12" s="4" t="s">
        <v>269</v>
      </c>
      <c r="R12" s="8" t="s">
        <v>310</v>
      </c>
    </row>
    <row r="13" spans="1:18" ht="26" x14ac:dyDescent="0.2">
      <c r="A13" s="17" t="s">
        <v>327</v>
      </c>
      <c r="B13" t="s">
        <v>328</v>
      </c>
      <c r="C13" s="18">
        <v>30</v>
      </c>
      <c r="D13" s="18">
        <v>40</v>
      </c>
      <c r="E13" s="18">
        <v>200</v>
      </c>
      <c r="F13" s="18">
        <v>420</v>
      </c>
      <c r="G13" s="21">
        <f>Companies!F83</f>
        <v>720.31818181818164</v>
      </c>
      <c r="H13" s="20"/>
      <c r="I13" s="20"/>
      <c r="J13" s="20"/>
      <c r="K13" s="20"/>
      <c r="L13" s="20"/>
      <c r="M13" s="20"/>
      <c r="N13" s="20"/>
      <c r="O13" s="20"/>
      <c r="P13" s="20"/>
      <c r="Q13" s="4" t="s">
        <v>269</v>
      </c>
      <c r="R13" s="8" t="s">
        <v>310</v>
      </c>
    </row>
    <row r="14" spans="1:18" ht="26" x14ac:dyDescent="0.2">
      <c r="A14" s="17" t="s">
        <v>329</v>
      </c>
      <c r="B14" t="s">
        <v>330</v>
      </c>
      <c r="C14" s="18">
        <v>5</v>
      </c>
      <c r="D14" s="18">
        <v>8</v>
      </c>
      <c r="E14" s="18">
        <v>30</v>
      </c>
      <c r="F14" s="18">
        <v>80</v>
      </c>
      <c r="G14" s="21">
        <f>Companies!F84</f>
        <v>141.99999999999997</v>
      </c>
      <c r="H14" s="20"/>
      <c r="I14" s="20"/>
      <c r="J14" s="20"/>
      <c r="K14" s="20"/>
      <c r="L14" s="20"/>
      <c r="M14" s="20"/>
      <c r="N14" s="20"/>
      <c r="O14" s="20"/>
      <c r="P14" s="20"/>
      <c r="Q14" s="4" t="s">
        <v>269</v>
      </c>
      <c r="R14" s="8" t="s">
        <v>310</v>
      </c>
    </row>
    <row r="15" spans="1:18" ht="26" x14ac:dyDescent="0.2">
      <c r="A15" s="17" t="s">
        <v>331</v>
      </c>
      <c r="B15" t="s">
        <v>332</v>
      </c>
      <c r="C15" s="18">
        <v>5</v>
      </c>
      <c r="D15" s="18">
        <v>8</v>
      </c>
      <c r="E15" s="18">
        <v>30</v>
      </c>
      <c r="F15" s="18">
        <v>80</v>
      </c>
      <c r="G15" s="21">
        <f>Companies!F85</f>
        <v>108.33333333333333</v>
      </c>
      <c r="H15" s="20"/>
      <c r="I15" s="20"/>
      <c r="J15" s="20"/>
      <c r="K15" s="20"/>
      <c r="L15" s="20"/>
      <c r="M15" s="20"/>
      <c r="N15" s="20"/>
      <c r="O15" s="20"/>
      <c r="P15" s="20"/>
      <c r="Q15" s="4" t="s">
        <v>269</v>
      </c>
      <c r="R15" s="8" t="s">
        <v>310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333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39" x14ac:dyDescent="0.2">
      <c r="A4" s="17" t="s">
        <v>334</v>
      </c>
      <c r="B4" t="s">
        <v>309</v>
      </c>
      <c r="C4" s="18">
        <v>7.2</v>
      </c>
      <c r="D4" s="18">
        <v>17</v>
      </c>
      <c r="E4" s="18">
        <v>52.9</v>
      </c>
      <c r="F4" s="18">
        <v>151</v>
      </c>
      <c r="G4" s="21">
        <f>Companies!G74</f>
        <v>377.57421875000011</v>
      </c>
      <c r="H4" s="20"/>
      <c r="I4" s="20"/>
      <c r="J4" s="20"/>
      <c r="K4" s="20"/>
      <c r="L4" s="20"/>
      <c r="M4" s="20"/>
      <c r="N4" s="20"/>
      <c r="O4" s="20"/>
      <c r="P4" s="20"/>
      <c r="Q4" s="4" t="s">
        <v>269</v>
      </c>
      <c r="R4" s="8" t="s">
        <v>335</v>
      </c>
    </row>
    <row r="5" spans="1:18" ht="39" x14ac:dyDescent="0.2">
      <c r="A5" s="17" t="s">
        <v>336</v>
      </c>
      <c r="B5" t="s">
        <v>312</v>
      </c>
      <c r="C5" s="18">
        <v>0.5</v>
      </c>
      <c r="D5" s="18">
        <v>1.2</v>
      </c>
      <c r="E5" s="18">
        <v>3.8</v>
      </c>
      <c r="F5" s="18">
        <v>10.9</v>
      </c>
      <c r="G5" s="21">
        <f>Companies!G75</f>
        <v>27.265625</v>
      </c>
      <c r="H5" s="20"/>
      <c r="I5" s="20"/>
      <c r="J5" s="20"/>
      <c r="K5" s="20"/>
      <c r="L5" s="20"/>
      <c r="M5" s="20"/>
      <c r="N5" s="20"/>
      <c r="O5" s="20"/>
      <c r="P5" s="20"/>
      <c r="Q5" s="4" t="s">
        <v>269</v>
      </c>
      <c r="R5" s="8" t="s">
        <v>335</v>
      </c>
    </row>
    <row r="6" spans="1:18" ht="39" x14ac:dyDescent="0.2">
      <c r="A6" s="17" t="s">
        <v>337</v>
      </c>
      <c r="B6" t="s">
        <v>314</v>
      </c>
      <c r="C6" s="18">
        <v>0.6</v>
      </c>
      <c r="D6" s="18">
        <v>1.4</v>
      </c>
      <c r="E6" s="18">
        <v>4.5</v>
      </c>
      <c r="F6" s="18">
        <v>12.9</v>
      </c>
      <c r="G6" s="21">
        <f>Companies!G76</f>
        <v>32.171875000000007</v>
      </c>
      <c r="H6" s="20"/>
      <c r="I6" s="20"/>
      <c r="J6" s="20"/>
      <c r="K6" s="20"/>
      <c r="L6" s="20"/>
      <c r="M6" s="20"/>
      <c r="N6" s="20"/>
      <c r="O6" s="20"/>
      <c r="P6" s="20"/>
      <c r="Q6" s="4" t="s">
        <v>269</v>
      </c>
      <c r="R6" s="8" t="s">
        <v>335</v>
      </c>
    </row>
    <row r="7" spans="1:18" ht="39" x14ac:dyDescent="0.2">
      <c r="A7" s="17" t="s">
        <v>338</v>
      </c>
      <c r="B7" t="s">
        <v>316</v>
      </c>
      <c r="C7" s="18">
        <v>0</v>
      </c>
      <c r="D7" s="18">
        <v>0</v>
      </c>
      <c r="E7" s="18">
        <v>0</v>
      </c>
      <c r="F7" s="18">
        <v>0</v>
      </c>
      <c r="G7" s="21">
        <f>Companies!G77</f>
        <v>0</v>
      </c>
      <c r="H7" s="20"/>
      <c r="I7" s="20"/>
      <c r="J7" s="20"/>
      <c r="K7" s="20"/>
      <c r="L7" s="20"/>
      <c r="M7" s="20"/>
      <c r="N7" s="20"/>
      <c r="O7" s="20"/>
      <c r="P7" s="20"/>
      <c r="Q7" s="4" t="s">
        <v>269</v>
      </c>
      <c r="R7" s="8" t="s">
        <v>335</v>
      </c>
    </row>
    <row r="8" spans="1:18" ht="39" x14ac:dyDescent="0.2">
      <c r="A8" s="17" t="s">
        <v>339</v>
      </c>
      <c r="B8" t="s">
        <v>318</v>
      </c>
      <c r="C8" s="18">
        <v>0</v>
      </c>
      <c r="D8" s="18">
        <v>0</v>
      </c>
      <c r="E8" s="18">
        <v>0</v>
      </c>
      <c r="F8" s="18">
        <v>0</v>
      </c>
      <c r="G8" s="21">
        <f>Companies!G78</f>
        <v>0</v>
      </c>
      <c r="H8" s="20"/>
      <c r="I8" s="20"/>
      <c r="J8" s="20"/>
      <c r="K8" s="20"/>
      <c r="L8" s="20"/>
      <c r="M8" s="20"/>
      <c r="N8" s="20"/>
      <c r="O8" s="20"/>
      <c r="P8" s="20"/>
      <c r="Q8" s="4" t="s">
        <v>269</v>
      </c>
      <c r="R8" s="8" t="s">
        <v>335</v>
      </c>
    </row>
    <row r="9" spans="1:18" ht="39" x14ac:dyDescent="0.2">
      <c r="A9" s="17" t="s">
        <v>340</v>
      </c>
      <c r="B9" t="s">
        <v>320</v>
      </c>
      <c r="C9" s="18">
        <v>0</v>
      </c>
      <c r="D9" s="18">
        <v>0</v>
      </c>
      <c r="E9" s="18">
        <v>0</v>
      </c>
      <c r="F9" s="18">
        <v>0</v>
      </c>
      <c r="G9" s="21">
        <f>Companies!G79</f>
        <v>0</v>
      </c>
      <c r="H9" s="20"/>
      <c r="I9" s="20"/>
      <c r="J9" s="20"/>
      <c r="K9" s="20"/>
      <c r="L9" s="20"/>
      <c r="M9" s="20"/>
      <c r="N9" s="20"/>
      <c r="O9" s="20"/>
      <c r="P9" s="20"/>
      <c r="Q9" s="4" t="s">
        <v>269</v>
      </c>
      <c r="R9" s="8" t="s">
        <v>335</v>
      </c>
    </row>
    <row r="10" spans="1:18" ht="39" x14ac:dyDescent="0.2">
      <c r="A10" s="17" t="s">
        <v>341</v>
      </c>
      <c r="B10" t="s">
        <v>322</v>
      </c>
      <c r="C10" s="18">
        <v>0.1</v>
      </c>
      <c r="D10" s="18">
        <v>0.2</v>
      </c>
      <c r="E10" s="18">
        <v>0.5</v>
      </c>
      <c r="F10" s="18">
        <v>1.6</v>
      </c>
      <c r="G10" s="21">
        <f>Companies!G80</f>
        <v>3.90625</v>
      </c>
      <c r="H10" s="20"/>
      <c r="I10" s="20"/>
      <c r="J10" s="20"/>
      <c r="K10" s="20"/>
      <c r="L10" s="20"/>
      <c r="M10" s="20"/>
      <c r="N10" s="20"/>
      <c r="O10" s="20"/>
      <c r="P10" s="20"/>
      <c r="Q10" s="4" t="s">
        <v>269</v>
      </c>
      <c r="R10" s="8" t="s">
        <v>335</v>
      </c>
    </row>
    <row r="11" spans="1:18" ht="39" x14ac:dyDescent="0.2">
      <c r="A11" s="17" t="s">
        <v>342</v>
      </c>
      <c r="B11" t="s">
        <v>324</v>
      </c>
      <c r="C11" s="18">
        <v>0</v>
      </c>
      <c r="D11" s="18">
        <v>0</v>
      </c>
      <c r="E11" s="18">
        <v>0</v>
      </c>
      <c r="F11" s="18">
        <v>0</v>
      </c>
      <c r="G11" s="21">
        <f>Companies!G81</f>
        <v>0</v>
      </c>
      <c r="H11" s="20"/>
      <c r="I11" s="20"/>
      <c r="J11" s="20"/>
      <c r="K11" s="20"/>
      <c r="L11" s="20"/>
      <c r="M11" s="20"/>
      <c r="N11" s="20"/>
      <c r="O11" s="20"/>
      <c r="P11" s="20"/>
      <c r="Q11" s="4" t="s">
        <v>269</v>
      </c>
      <c r="R11" s="8" t="s">
        <v>335</v>
      </c>
    </row>
    <row r="12" spans="1:18" ht="39" x14ac:dyDescent="0.2">
      <c r="A12" s="17" t="s">
        <v>343</v>
      </c>
      <c r="B12" t="s">
        <v>326</v>
      </c>
      <c r="C12" s="18">
        <v>0</v>
      </c>
      <c r="D12" s="18">
        <v>0</v>
      </c>
      <c r="E12" s="18">
        <v>0.1</v>
      </c>
      <c r="F12" s="18">
        <v>0.2</v>
      </c>
      <c r="G12" s="21">
        <f>Companies!G82</f>
        <v>0.625</v>
      </c>
      <c r="H12" s="20"/>
      <c r="I12" s="20"/>
      <c r="J12" s="20"/>
      <c r="K12" s="20"/>
      <c r="L12" s="20"/>
      <c r="M12" s="20"/>
      <c r="N12" s="20"/>
      <c r="O12" s="20"/>
      <c r="P12" s="20"/>
      <c r="Q12" s="4" t="s">
        <v>269</v>
      </c>
      <c r="R12" s="8" t="s">
        <v>335</v>
      </c>
    </row>
    <row r="13" spans="1:18" ht="39" x14ac:dyDescent="0.2">
      <c r="A13" s="17" t="s">
        <v>344</v>
      </c>
      <c r="B13" t="s">
        <v>328</v>
      </c>
      <c r="C13" s="18">
        <v>0.5</v>
      </c>
      <c r="D13" s="18">
        <v>1.1000000000000001</v>
      </c>
      <c r="E13" s="18">
        <v>3.4</v>
      </c>
      <c r="F13" s="18">
        <v>9.6</v>
      </c>
      <c r="G13" s="21">
        <f>Companies!G83</f>
        <v>24.0078125</v>
      </c>
      <c r="H13" s="20"/>
      <c r="I13" s="20"/>
      <c r="J13" s="20"/>
      <c r="K13" s="20"/>
      <c r="L13" s="20"/>
      <c r="M13" s="20"/>
      <c r="N13" s="20"/>
      <c r="O13" s="20"/>
      <c r="P13" s="20"/>
      <c r="Q13" s="4" t="s">
        <v>269</v>
      </c>
      <c r="R13" s="8" t="s">
        <v>335</v>
      </c>
    </row>
    <row r="14" spans="1:18" ht="39" x14ac:dyDescent="0.2">
      <c r="A14" s="17" t="s">
        <v>345</v>
      </c>
      <c r="B14" t="s">
        <v>330</v>
      </c>
      <c r="C14" s="18">
        <v>0.2</v>
      </c>
      <c r="D14" s="18">
        <v>0.6</v>
      </c>
      <c r="E14" s="18">
        <v>1.8</v>
      </c>
      <c r="F14" s="18">
        <v>5</v>
      </c>
      <c r="G14" s="21">
        <f>Companies!G84</f>
        <v>12.5</v>
      </c>
      <c r="H14" s="20"/>
      <c r="I14" s="20"/>
      <c r="J14" s="20"/>
      <c r="K14" s="20"/>
      <c r="L14" s="20"/>
      <c r="M14" s="20"/>
      <c r="N14" s="20"/>
      <c r="O14" s="20"/>
      <c r="P14" s="20"/>
      <c r="Q14" s="4" t="s">
        <v>269</v>
      </c>
      <c r="R14" s="8" t="s">
        <v>335</v>
      </c>
    </row>
    <row r="15" spans="1:18" ht="39" x14ac:dyDescent="0.2">
      <c r="A15" s="17" t="s">
        <v>346</v>
      </c>
      <c r="B15" t="s">
        <v>332</v>
      </c>
      <c r="C15" s="18">
        <v>0.2</v>
      </c>
      <c r="D15" s="18">
        <v>0.5</v>
      </c>
      <c r="E15" s="18">
        <v>1.4</v>
      </c>
      <c r="F15" s="18">
        <v>4.0999999999999996</v>
      </c>
      <c r="G15" s="21">
        <f>Companies!G85</f>
        <v>10.15625</v>
      </c>
      <c r="H15" s="20"/>
      <c r="I15" s="20"/>
      <c r="J15" s="20"/>
      <c r="K15" s="20"/>
      <c r="L15" s="20"/>
      <c r="M15" s="20"/>
      <c r="N15" s="20"/>
      <c r="O15" s="20"/>
      <c r="P15" s="20"/>
      <c r="Q15" s="4" t="s">
        <v>269</v>
      </c>
      <c r="R15" s="8" t="s">
        <v>335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16" width="9.5" customWidth="1"/>
    <col min="17" max="17" width="13" customWidth="1"/>
    <col min="18" max="18" width="90" customWidth="1"/>
  </cols>
  <sheetData>
    <row r="1" spans="1:18" ht="17" x14ac:dyDescent="0.2">
      <c r="A1" s="1" t="s">
        <v>347</v>
      </c>
    </row>
    <row r="3" spans="1:18" x14ac:dyDescent="0.2">
      <c r="A3" s="16" t="s">
        <v>238</v>
      </c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  <c r="H3" s="16" t="s">
        <v>245</v>
      </c>
      <c r="I3" s="16" t="s">
        <v>246</v>
      </c>
      <c r="J3" s="16" t="s">
        <v>247</v>
      </c>
      <c r="K3" s="16" t="s">
        <v>248</v>
      </c>
      <c r="L3" s="16" t="s">
        <v>249</v>
      </c>
      <c r="M3" s="16" t="s">
        <v>250</v>
      </c>
      <c r="N3" s="16" t="s">
        <v>251</v>
      </c>
      <c r="O3" s="16" t="s">
        <v>252</v>
      </c>
      <c r="P3" s="16" t="s">
        <v>253</v>
      </c>
      <c r="Q3" s="16" t="s">
        <v>254</v>
      </c>
      <c r="R3" s="16" t="s">
        <v>255</v>
      </c>
    </row>
    <row r="4" spans="1:18" ht="26" x14ac:dyDescent="0.2">
      <c r="A4" s="17" t="s">
        <v>348</v>
      </c>
      <c r="B4" t="s">
        <v>309</v>
      </c>
      <c r="C4" s="18">
        <v>13.1</v>
      </c>
      <c r="D4" s="18">
        <v>20.9</v>
      </c>
      <c r="E4" s="18">
        <v>52.4</v>
      </c>
      <c r="F4" s="18">
        <v>130.9</v>
      </c>
      <c r="G4" s="18">
        <v>261.89999999999998</v>
      </c>
      <c r="H4" s="20"/>
      <c r="I4" s="20"/>
      <c r="J4" s="20"/>
      <c r="K4" s="20"/>
      <c r="L4" s="20"/>
      <c r="M4" s="20"/>
      <c r="N4" s="20"/>
      <c r="O4" s="20"/>
      <c r="P4" s="20"/>
      <c r="Q4" s="4" t="s">
        <v>269</v>
      </c>
      <c r="R4" s="8" t="s">
        <v>349</v>
      </c>
    </row>
    <row r="5" spans="1:18" ht="26" x14ac:dyDescent="0.2">
      <c r="A5" s="17" t="s">
        <v>350</v>
      </c>
      <c r="B5" t="s">
        <v>312</v>
      </c>
      <c r="C5" s="18">
        <v>1.3</v>
      </c>
      <c r="D5" s="18">
        <v>2</v>
      </c>
      <c r="E5" s="18">
        <v>5</v>
      </c>
      <c r="F5" s="18">
        <v>12.6</v>
      </c>
      <c r="G5" s="18">
        <v>25.2</v>
      </c>
      <c r="H5" s="20"/>
      <c r="I5" s="20"/>
      <c r="J5" s="20"/>
      <c r="K5" s="20"/>
      <c r="L5" s="20"/>
      <c r="M5" s="20"/>
      <c r="N5" s="20"/>
      <c r="O5" s="20"/>
      <c r="P5" s="20"/>
      <c r="Q5" s="4" t="s">
        <v>269</v>
      </c>
      <c r="R5" s="8" t="s">
        <v>349</v>
      </c>
    </row>
    <row r="6" spans="1:18" ht="26" x14ac:dyDescent="0.2">
      <c r="A6" s="17" t="s">
        <v>351</v>
      </c>
      <c r="B6" t="s">
        <v>314</v>
      </c>
      <c r="C6" s="18">
        <v>6.8</v>
      </c>
      <c r="D6" s="18">
        <v>10.9</v>
      </c>
      <c r="E6" s="18">
        <v>27.2</v>
      </c>
      <c r="F6" s="18">
        <v>68</v>
      </c>
      <c r="G6" s="18">
        <v>136</v>
      </c>
      <c r="H6" s="20"/>
      <c r="I6" s="20"/>
      <c r="J6" s="20"/>
      <c r="K6" s="20"/>
      <c r="L6" s="20"/>
      <c r="M6" s="20"/>
      <c r="N6" s="20"/>
      <c r="O6" s="20"/>
      <c r="P6" s="20"/>
      <c r="Q6" s="4" t="s">
        <v>269</v>
      </c>
      <c r="R6" s="8" t="s">
        <v>349</v>
      </c>
    </row>
    <row r="7" spans="1:18" ht="26" x14ac:dyDescent="0.2">
      <c r="A7" s="17" t="s">
        <v>352</v>
      </c>
      <c r="B7" t="s">
        <v>316</v>
      </c>
      <c r="C7" s="18">
        <v>0.3</v>
      </c>
      <c r="D7" s="18">
        <v>0.5</v>
      </c>
      <c r="E7" s="18">
        <v>1.4</v>
      </c>
      <c r="F7" s="18">
        <v>3.4</v>
      </c>
      <c r="G7" s="18">
        <v>6.8</v>
      </c>
      <c r="H7" s="20"/>
      <c r="I7" s="20"/>
      <c r="J7" s="20"/>
      <c r="K7" s="20"/>
      <c r="L7" s="20"/>
      <c r="M7" s="20"/>
      <c r="N7" s="20"/>
      <c r="O7" s="20"/>
      <c r="P7" s="20"/>
      <c r="Q7" s="4" t="s">
        <v>269</v>
      </c>
      <c r="R7" s="8" t="s">
        <v>349</v>
      </c>
    </row>
    <row r="8" spans="1:18" ht="26" x14ac:dyDescent="0.2">
      <c r="A8" s="17" t="s">
        <v>353</v>
      </c>
      <c r="B8" t="s">
        <v>318</v>
      </c>
      <c r="C8" s="18">
        <v>0</v>
      </c>
      <c r="D8" s="18">
        <v>0.1</v>
      </c>
      <c r="E8" s="18">
        <v>0.2</v>
      </c>
      <c r="F8" s="18">
        <v>0.4</v>
      </c>
      <c r="G8" s="18">
        <v>0.8</v>
      </c>
      <c r="H8" s="20"/>
      <c r="I8" s="20"/>
      <c r="J8" s="20"/>
      <c r="K8" s="20"/>
      <c r="L8" s="20"/>
      <c r="M8" s="20"/>
      <c r="N8" s="20"/>
      <c r="O8" s="20"/>
      <c r="P8" s="20"/>
      <c r="Q8" s="4" t="s">
        <v>269</v>
      </c>
      <c r="R8" s="8" t="s">
        <v>349</v>
      </c>
    </row>
    <row r="9" spans="1:18" ht="26" x14ac:dyDescent="0.2">
      <c r="A9" s="17" t="s">
        <v>354</v>
      </c>
      <c r="B9" t="s">
        <v>320</v>
      </c>
      <c r="C9" s="18">
        <v>0</v>
      </c>
      <c r="D9" s="18">
        <v>0</v>
      </c>
      <c r="E9" s="18">
        <v>0.1</v>
      </c>
      <c r="F9" s="18">
        <v>0.2</v>
      </c>
      <c r="G9" s="18">
        <v>0.4</v>
      </c>
      <c r="H9" s="20"/>
      <c r="I9" s="20"/>
      <c r="J9" s="20"/>
      <c r="K9" s="20"/>
      <c r="L9" s="20"/>
      <c r="M9" s="20"/>
      <c r="N9" s="20"/>
      <c r="O9" s="20"/>
      <c r="P9" s="20"/>
      <c r="Q9" s="4" t="s">
        <v>269</v>
      </c>
      <c r="R9" s="8" t="s">
        <v>349</v>
      </c>
    </row>
    <row r="10" spans="1:18" ht="26" x14ac:dyDescent="0.2">
      <c r="A10" s="17" t="s">
        <v>355</v>
      </c>
      <c r="B10" t="s">
        <v>322</v>
      </c>
      <c r="C10" s="18">
        <v>7.7</v>
      </c>
      <c r="D10" s="18">
        <v>12.3</v>
      </c>
      <c r="E10" s="18">
        <v>30.6</v>
      </c>
      <c r="F10" s="18">
        <v>76.599999999999994</v>
      </c>
      <c r="G10" s="18">
        <v>153.19999999999999</v>
      </c>
      <c r="H10" s="20"/>
      <c r="I10" s="20"/>
      <c r="J10" s="20"/>
      <c r="K10" s="20"/>
      <c r="L10" s="20"/>
      <c r="M10" s="20"/>
      <c r="N10" s="20"/>
      <c r="O10" s="20"/>
      <c r="P10" s="20"/>
      <c r="Q10" s="4" t="s">
        <v>269</v>
      </c>
      <c r="R10" s="8" t="s">
        <v>349</v>
      </c>
    </row>
    <row r="11" spans="1:18" ht="26" x14ac:dyDescent="0.2">
      <c r="A11" s="17" t="s">
        <v>356</v>
      </c>
      <c r="B11" t="s">
        <v>324</v>
      </c>
      <c r="C11" s="18">
        <v>0.6</v>
      </c>
      <c r="D11" s="18">
        <v>1</v>
      </c>
      <c r="E11" s="18">
        <v>2.6</v>
      </c>
      <c r="F11" s="18">
        <v>6.4</v>
      </c>
      <c r="G11" s="18">
        <v>12.8</v>
      </c>
      <c r="H11" s="20"/>
      <c r="I11" s="20"/>
      <c r="J11" s="20"/>
      <c r="K11" s="20"/>
      <c r="L11" s="20"/>
      <c r="M11" s="20"/>
      <c r="N11" s="20"/>
      <c r="O11" s="20"/>
      <c r="P11" s="20"/>
      <c r="Q11" s="4" t="s">
        <v>269</v>
      </c>
      <c r="R11" s="8" t="s">
        <v>349</v>
      </c>
    </row>
    <row r="12" spans="1:18" ht="26" x14ac:dyDescent="0.2">
      <c r="A12" s="17" t="s">
        <v>357</v>
      </c>
      <c r="B12" t="s">
        <v>326</v>
      </c>
      <c r="C12" s="18">
        <v>0.3</v>
      </c>
      <c r="D12" s="18">
        <v>0.5</v>
      </c>
      <c r="E12" s="18">
        <v>1.2</v>
      </c>
      <c r="F12" s="18">
        <v>3</v>
      </c>
      <c r="G12" s="18">
        <v>6</v>
      </c>
      <c r="H12" s="20"/>
      <c r="I12" s="20"/>
      <c r="J12" s="20"/>
      <c r="K12" s="20"/>
      <c r="L12" s="20"/>
      <c r="M12" s="20"/>
      <c r="N12" s="20"/>
      <c r="O12" s="20"/>
      <c r="P12" s="20"/>
      <c r="Q12" s="4" t="s">
        <v>269</v>
      </c>
      <c r="R12" s="8" t="s">
        <v>349</v>
      </c>
    </row>
    <row r="13" spans="1:18" ht="26" x14ac:dyDescent="0.2">
      <c r="A13" s="17" t="s">
        <v>358</v>
      </c>
      <c r="B13" t="s">
        <v>328</v>
      </c>
      <c r="C13" s="18">
        <v>1.1000000000000001</v>
      </c>
      <c r="D13" s="18">
        <v>1.7</v>
      </c>
      <c r="E13" s="18">
        <v>4.4000000000000004</v>
      </c>
      <c r="F13" s="18">
        <v>10.9</v>
      </c>
      <c r="G13" s="18">
        <v>21.8</v>
      </c>
      <c r="H13" s="20"/>
      <c r="I13" s="20"/>
      <c r="J13" s="20"/>
      <c r="K13" s="20"/>
      <c r="L13" s="20"/>
      <c r="M13" s="20"/>
      <c r="N13" s="20"/>
      <c r="O13" s="20"/>
      <c r="P13" s="20"/>
      <c r="Q13" s="4" t="s">
        <v>269</v>
      </c>
      <c r="R13" s="8" t="s">
        <v>349</v>
      </c>
    </row>
    <row r="14" spans="1:18" ht="26" x14ac:dyDescent="0.2">
      <c r="A14" s="17" t="s">
        <v>359</v>
      </c>
      <c r="B14" t="s">
        <v>330</v>
      </c>
      <c r="C14" s="18">
        <v>0.8</v>
      </c>
      <c r="D14" s="18">
        <v>1.3</v>
      </c>
      <c r="E14" s="18">
        <v>3.3</v>
      </c>
      <c r="F14" s="18">
        <v>8.3000000000000007</v>
      </c>
      <c r="G14" s="18">
        <v>16.600000000000001</v>
      </c>
      <c r="H14" s="20"/>
      <c r="I14" s="20"/>
      <c r="J14" s="20"/>
      <c r="K14" s="20"/>
      <c r="L14" s="20"/>
      <c r="M14" s="20"/>
      <c r="N14" s="20"/>
      <c r="O14" s="20"/>
      <c r="P14" s="20"/>
      <c r="Q14" s="4" t="s">
        <v>269</v>
      </c>
      <c r="R14" s="8" t="s">
        <v>349</v>
      </c>
    </row>
    <row r="15" spans="1:18" ht="26" x14ac:dyDescent="0.2">
      <c r="A15" s="17" t="s">
        <v>360</v>
      </c>
      <c r="B15" t="s">
        <v>332</v>
      </c>
      <c r="C15" s="18">
        <v>0.4</v>
      </c>
      <c r="D15" s="18">
        <v>0.7</v>
      </c>
      <c r="E15" s="18">
        <v>1.7</v>
      </c>
      <c r="F15" s="18">
        <v>4.2</v>
      </c>
      <c r="G15" s="18">
        <v>8.3000000000000007</v>
      </c>
      <c r="H15" s="20"/>
      <c r="I15" s="20"/>
      <c r="J15" s="20"/>
      <c r="K15" s="20"/>
      <c r="L15" s="20"/>
      <c r="M15" s="20"/>
      <c r="N15" s="20"/>
      <c r="O15" s="20"/>
      <c r="P15" s="20"/>
      <c r="Q15" s="4" t="s">
        <v>269</v>
      </c>
      <c r="R15" s="8" t="s">
        <v>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tabSelected="1" workbookViewId="0">
      <pane ySplit="3" topLeftCell="A16" activePane="bottomLeft" state="frozen"/>
      <selection pane="bottomLeft" activeCell="H47" sqref="H47"/>
    </sheetView>
  </sheetViews>
  <sheetFormatPr baseColWidth="10" defaultColWidth="8.83203125" defaultRowHeight="15" x14ac:dyDescent="0.2"/>
  <cols>
    <col min="1" max="1" width="26" customWidth="1"/>
    <col min="2" max="2" width="9" customWidth="1"/>
    <col min="3" max="6" width="12" customWidth="1"/>
    <col min="7" max="7" width="50" customWidth="1"/>
    <col min="8" max="8" width="62" customWidth="1"/>
  </cols>
  <sheetData>
    <row r="1" spans="1:8" ht="17" x14ac:dyDescent="0.2">
      <c r="A1" s="1" t="s">
        <v>361</v>
      </c>
    </row>
    <row r="3" spans="1:8" ht="30" x14ac:dyDescent="0.2">
      <c r="A3" s="3" t="s">
        <v>238</v>
      </c>
      <c r="B3" s="3" t="s">
        <v>362</v>
      </c>
      <c r="C3" s="3" t="s">
        <v>363</v>
      </c>
      <c r="D3" s="3" t="s">
        <v>364</v>
      </c>
      <c r="E3" s="3" t="s">
        <v>365</v>
      </c>
      <c r="F3" s="3" t="s">
        <v>254</v>
      </c>
      <c r="G3" s="3" t="s">
        <v>366</v>
      </c>
      <c r="H3" s="3" t="s">
        <v>255</v>
      </c>
    </row>
    <row r="4" spans="1:8" x14ac:dyDescent="0.2">
      <c r="A4" s="17" t="s">
        <v>367</v>
      </c>
      <c r="B4" s="22">
        <v>4.3</v>
      </c>
      <c r="C4" s="23"/>
      <c r="D4" s="23"/>
      <c r="E4" s="23"/>
      <c r="F4" s="4" t="s">
        <v>368</v>
      </c>
      <c r="G4" t="s">
        <v>369</v>
      </c>
      <c r="H4" s="8" t="s">
        <v>370</v>
      </c>
    </row>
    <row r="5" spans="1:8" ht="26" x14ac:dyDescent="0.2">
      <c r="A5" s="17" t="s">
        <v>371</v>
      </c>
      <c r="B5" s="22">
        <v>5</v>
      </c>
      <c r="C5" s="23"/>
      <c r="D5" s="23"/>
      <c r="E5" s="23"/>
      <c r="F5" s="4" t="s">
        <v>372</v>
      </c>
      <c r="G5" t="s">
        <v>373</v>
      </c>
      <c r="H5" s="8" t="s">
        <v>374</v>
      </c>
    </row>
    <row r="6" spans="1:8" x14ac:dyDescent="0.2">
      <c r="A6" s="17" t="s">
        <v>375</v>
      </c>
      <c r="B6" s="22">
        <v>1.5</v>
      </c>
      <c r="C6" s="23"/>
      <c r="D6" s="23"/>
      <c r="E6" s="23"/>
      <c r="F6" s="4" t="s">
        <v>368</v>
      </c>
      <c r="G6" t="s">
        <v>376</v>
      </c>
      <c r="H6" s="8" t="s">
        <v>377</v>
      </c>
    </row>
    <row r="7" spans="1:8" x14ac:dyDescent="0.2">
      <c r="A7" s="17" t="s">
        <v>378</v>
      </c>
      <c r="B7" s="22">
        <v>4</v>
      </c>
      <c r="C7" s="23"/>
      <c r="D7" s="23"/>
      <c r="E7" s="23"/>
      <c r="F7" s="4" t="s">
        <v>368</v>
      </c>
      <c r="G7" t="s">
        <v>379</v>
      </c>
      <c r="H7" s="8" t="s">
        <v>380</v>
      </c>
    </row>
    <row r="8" spans="1:8" x14ac:dyDescent="0.2">
      <c r="A8" s="17" t="s">
        <v>381</v>
      </c>
      <c r="B8" s="22">
        <v>2.8</v>
      </c>
      <c r="C8" s="23"/>
      <c r="D8" s="23"/>
      <c r="E8" s="23"/>
      <c r="F8" s="4" t="s">
        <v>368</v>
      </c>
      <c r="G8" t="s">
        <v>382</v>
      </c>
      <c r="H8" s="8" t="s">
        <v>383</v>
      </c>
    </row>
    <row r="9" spans="1:8" x14ac:dyDescent="0.2">
      <c r="A9" s="17" t="s">
        <v>384</v>
      </c>
      <c r="B9" s="22">
        <v>50</v>
      </c>
      <c r="C9" s="23"/>
      <c r="D9" s="23"/>
      <c r="E9" s="23"/>
      <c r="F9" s="4" t="s">
        <v>385</v>
      </c>
      <c r="G9" t="s">
        <v>386</v>
      </c>
      <c r="H9" s="8" t="s">
        <v>387</v>
      </c>
    </row>
    <row r="10" spans="1:8" x14ac:dyDescent="0.2">
      <c r="A10" s="17" t="s">
        <v>388</v>
      </c>
      <c r="B10" s="22">
        <v>0</v>
      </c>
      <c r="C10" s="23"/>
      <c r="D10" s="23"/>
      <c r="E10" s="23"/>
      <c r="F10" s="4" t="s">
        <v>389</v>
      </c>
      <c r="G10" t="s">
        <v>390</v>
      </c>
      <c r="H10" s="8" t="s">
        <v>391</v>
      </c>
    </row>
    <row r="11" spans="1:8" ht="26" x14ac:dyDescent="0.2">
      <c r="A11" s="17" t="s">
        <v>392</v>
      </c>
      <c r="B11" s="22">
        <v>65</v>
      </c>
      <c r="C11" s="23"/>
      <c r="D11" s="23"/>
      <c r="E11" s="23"/>
      <c r="F11" s="4" t="s">
        <v>385</v>
      </c>
      <c r="G11" t="s">
        <v>393</v>
      </c>
      <c r="H11" s="8" t="s">
        <v>394</v>
      </c>
    </row>
    <row r="12" spans="1:8" x14ac:dyDescent="0.2">
      <c r="A12" s="17" t="s">
        <v>395</v>
      </c>
      <c r="B12" s="22">
        <v>70</v>
      </c>
      <c r="C12" s="23"/>
      <c r="D12" s="23"/>
      <c r="E12" s="23"/>
      <c r="F12" s="4" t="s">
        <v>385</v>
      </c>
      <c r="G12" t="s">
        <v>396</v>
      </c>
      <c r="H12" s="8" t="s">
        <v>397</v>
      </c>
    </row>
    <row r="13" spans="1:8" x14ac:dyDescent="0.2">
      <c r="A13" s="17" t="s">
        <v>398</v>
      </c>
      <c r="B13" s="22">
        <v>85</v>
      </c>
      <c r="C13" s="23"/>
      <c r="D13" s="23"/>
      <c r="E13" s="23"/>
      <c r="F13" s="4" t="s">
        <v>385</v>
      </c>
      <c r="G13" t="s">
        <v>399</v>
      </c>
      <c r="H13" s="8" t="s">
        <v>400</v>
      </c>
    </row>
    <row r="14" spans="1:8" x14ac:dyDescent="0.2">
      <c r="A14" s="17" t="s">
        <v>401</v>
      </c>
      <c r="B14" s="22">
        <v>58</v>
      </c>
      <c r="C14" s="23"/>
      <c r="D14" s="23"/>
      <c r="E14" s="23"/>
      <c r="F14" s="4" t="s">
        <v>385</v>
      </c>
      <c r="G14" t="s">
        <v>402</v>
      </c>
      <c r="H14" s="8" t="s">
        <v>397</v>
      </c>
    </row>
    <row r="15" spans="1:8" x14ac:dyDescent="0.2">
      <c r="A15" s="17" t="s">
        <v>403</v>
      </c>
      <c r="B15" s="22">
        <v>0</v>
      </c>
      <c r="C15" s="23"/>
      <c r="D15" s="23"/>
      <c r="E15" s="23"/>
      <c r="F15" s="4" t="s">
        <v>385</v>
      </c>
      <c r="G15" t="s">
        <v>404</v>
      </c>
      <c r="H15" s="8" t="s">
        <v>405</v>
      </c>
    </row>
    <row r="16" spans="1:8" x14ac:dyDescent="0.2">
      <c r="A16" s="17" t="s">
        <v>406</v>
      </c>
      <c r="B16" s="22">
        <v>0.7</v>
      </c>
      <c r="C16" s="23"/>
      <c r="D16" s="23"/>
      <c r="E16" s="23"/>
      <c r="F16" s="4" t="s">
        <v>389</v>
      </c>
      <c r="G16" t="s">
        <v>407</v>
      </c>
      <c r="H16" s="8" t="s">
        <v>408</v>
      </c>
    </row>
    <row r="17" spans="1:8" x14ac:dyDescent="0.2">
      <c r="A17" s="17" t="s">
        <v>409</v>
      </c>
      <c r="B17" s="22">
        <v>2</v>
      </c>
      <c r="C17" s="23"/>
      <c r="D17" s="23"/>
      <c r="E17" s="23"/>
      <c r="F17" s="4" t="s">
        <v>410</v>
      </c>
      <c r="G17" t="s">
        <v>411</v>
      </c>
      <c r="H17" s="8" t="s">
        <v>412</v>
      </c>
    </row>
    <row r="18" spans="1:8" x14ac:dyDescent="0.2">
      <c r="A18" s="17" t="s">
        <v>413</v>
      </c>
      <c r="B18" s="22">
        <v>15</v>
      </c>
      <c r="C18" s="24">
        <v>18</v>
      </c>
      <c r="D18" s="24">
        <v>15</v>
      </c>
      <c r="E18" s="24">
        <v>10</v>
      </c>
      <c r="F18" s="4" t="s">
        <v>414</v>
      </c>
      <c r="G18" t="s">
        <v>415</v>
      </c>
      <c r="H18" s="8" t="s">
        <v>416</v>
      </c>
    </row>
    <row r="19" spans="1:8" x14ac:dyDescent="0.2">
      <c r="A19" s="17" t="s">
        <v>417</v>
      </c>
      <c r="B19" s="22">
        <v>15.5</v>
      </c>
      <c r="C19" s="23"/>
      <c r="D19" s="23"/>
      <c r="E19" s="23"/>
      <c r="F19" s="4" t="s">
        <v>414</v>
      </c>
      <c r="G19" t="s">
        <v>418</v>
      </c>
      <c r="H19" s="8" t="s">
        <v>419</v>
      </c>
    </row>
    <row r="20" spans="1:8" x14ac:dyDescent="0.2">
      <c r="A20" s="17" t="s">
        <v>420</v>
      </c>
      <c r="B20" s="22">
        <v>155</v>
      </c>
      <c r="C20" s="23"/>
      <c r="D20" s="23"/>
      <c r="E20" s="23"/>
      <c r="F20" s="4" t="s">
        <v>295</v>
      </c>
      <c r="G20" t="s">
        <v>421</v>
      </c>
      <c r="H20" s="8" t="s">
        <v>419</v>
      </c>
    </row>
    <row r="21" spans="1:8" x14ac:dyDescent="0.2">
      <c r="A21" s="17" t="s">
        <v>422</v>
      </c>
      <c r="B21" s="22">
        <v>148</v>
      </c>
      <c r="C21" s="23"/>
      <c r="D21" s="23"/>
      <c r="E21" s="23"/>
      <c r="F21" s="4" t="s">
        <v>295</v>
      </c>
      <c r="G21" t="s">
        <v>423</v>
      </c>
      <c r="H21" s="8" t="s">
        <v>419</v>
      </c>
    </row>
    <row r="22" spans="1:8" x14ac:dyDescent="0.2">
      <c r="A22" s="17" t="s">
        <v>424</v>
      </c>
      <c r="B22" s="22">
        <v>1.2</v>
      </c>
      <c r="C22" s="23"/>
      <c r="D22" s="23"/>
      <c r="E22" s="23"/>
      <c r="F22" s="4" t="s">
        <v>425</v>
      </c>
      <c r="G22" t="s">
        <v>426</v>
      </c>
      <c r="H22" s="8" t="s">
        <v>427</v>
      </c>
    </row>
    <row r="23" spans="1:8" x14ac:dyDescent="0.2">
      <c r="A23" s="17" t="s">
        <v>428</v>
      </c>
      <c r="B23" s="22">
        <v>3.2000000000000001E-2</v>
      </c>
      <c r="C23" s="23"/>
      <c r="D23" s="23"/>
      <c r="E23" s="23"/>
      <c r="F23" s="4" t="s">
        <v>429</v>
      </c>
      <c r="G23" t="s">
        <v>430</v>
      </c>
      <c r="H23" s="8" t="s">
        <v>431</v>
      </c>
    </row>
    <row r="24" spans="1:8" x14ac:dyDescent="0.2">
      <c r="A24" s="17" t="s">
        <v>432</v>
      </c>
      <c r="B24" s="22">
        <v>60</v>
      </c>
      <c r="C24" s="23"/>
      <c r="D24" s="23"/>
      <c r="E24" s="23"/>
      <c r="F24" s="4" t="s">
        <v>385</v>
      </c>
      <c r="G24" t="s">
        <v>433</v>
      </c>
      <c r="H24" s="8" t="s">
        <v>434</v>
      </c>
    </row>
    <row r="25" spans="1:8" x14ac:dyDescent="0.2">
      <c r="A25" s="17" t="s">
        <v>435</v>
      </c>
      <c r="B25" s="22">
        <v>30</v>
      </c>
      <c r="C25" s="23"/>
      <c r="D25" s="23"/>
      <c r="E25" s="23"/>
      <c r="F25" s="4" t="s">
        <v>385</v>
      </c>
      <c r="G25" t="s">
        <v>436</v>
      </c>
      <c r="H25" s="8" t="s">
        <v>191</v>
      </c>
    </row>
    <row r="26" spans="1:8" x14ac:dyDescent="0.2">
      <c r="A26" s="17" t="s">
        <v>437</v>
      </c>
      <c r="B26" s="22">
        <v>40</v>
      </c>
      <c r="C26" s="23"/>
      <c r="D26" s="23"/>
      <c r="E26" s="23"/>
      <c r="F26" s="4" t="s">
        <v>385</v>
      </c>
      <c r="G26" t="s">
        <v>438</v>
      </c>
      <c r="H26" s="8" t="s">
        <v>191</v>
      </c>
    </row>
    <row r="27" spans="1:8" x14ac:dyDescent="0.2">
      <c r="A27" s="17" t="s">
        <v>439</v>
      </c>
      <c r="B27" s="22">
        <v>1.5</v>
      </c>
      <c r="C27" s="23"/>
      <c r="D27" s="23"/>
      <c r="E27" s="23"/>
      <c r="F27" s="4" t="s">
        <v>440</v>
      </c>
      <c r="G27" t="s">
        <v>441</v>
      </c>
      <c r="H27" s="8" t="s">
        <v>419</v>
      </c>
    </row>
    <row r="28" spans="1:8" x14ac:dyDescent="0.2">
      <c r="A28" s="17" t="s">
        <v>442</v>
      </c>
      <c r="B28" s="22">
        <v>0.5</v>
      </c>
      <c r="C28" s="23"/>
      <c r="D28" s="23"/>
      <c r="E28" s="23"/>
      <c r="F28" s="4" t="s">
        <v>389</v>
      </c>
      <c r="G28" t="s">
        <v>443</v>
      </c>
      <c r="H28" s="8" t="s">
        <v>444</v>
      </c>
    </row>
    <row r="29" spans="1:8" x14ac:dyDescent="0.2">
      <c r="A29" s="17" t="s">
        <v>445</v>
      </c>
      <c r="B29" s="22">
        <v>0.2</v>
      </c>
      <c r="C29" s="23"/>
      <c r="D29" s="23"/>
      <c r="E29" s="23"/>
      <c r="F29" s="4" t="s">
        <v>389</v>
      </c>
      <c r="G29" t="s">
        <v>446</v>
      </c>
      <c r="H29" s="8" t="s">
        <v>447</v>
      </c>
    </row>
    <row r="30" spans="1:8" x14ac:dyDescent="0.2">
      <c r="A30" s="17" t="s">
        <v>448</v>
      </c>
      <c r="B30" s="22">
        <v>0.3</v>
      </c>
      <c r="C30" s="23"/>
      <c r="D30" s="23"/>
      <c r="E30" s="23"/>
      <c r="F30" s="4" t="s">
        <v>389</v>
      </c>
      <c r="G30" t="s">
        <v>449</v>
      </c>
      <c r="H30" s="8" t="s">
        <v>447</v>
      </c>
    </row>
    <row r="31" spans="1:8" x14ac:dyDescent="0.2">
      <c r="A31" s="17" t="s">
        <v>450</v>
      </c>
      <c r="B31" s="22">
        <v>0.6</v>
      </c>
      <c r="C31" s="23"/>
      <c r="D31" s="23"/>
      <c r="E31" s="23"/>
      <c r="F31" s="4" t="s">
        <v>389</v>
      </c>
      <c r="G31" t="s">
        <v>451</v>
      </c>
      <c r="H31" s="8" t="s">
        <v>452</v>
      </c>
    </row>
    <row r="32" spans="1:8" x14ac:dyDescent="0.2">
      <c r="A32" s="17" t="s">
        <v>453</v>
      </c>
      <c r="B32" s="22">
        <v>0.2</v>
      </c>
      <c r="C32" s="23"/>
      <c r="D32" s="23"/>
      <c r="E32" s="23"/>
      <c r="F32" s="4" t="s">
        <v>389</v>
      </c>
      <c r="G32" t="s">
        <v>454</v>
      </c>
      <c r="H32" s="8" t="s">
        <v>191</v>
      </c>
    </row>
    <row r="33" spans="1:8" x14ac:dyDescent="0.2">
      <c r="A33" s="17" t="s">
        <v>455</v>
      </c>
      <c r="B33" s="22">
        <v>0.2</v>
      </c>
      <c r="C33" s="23"/>
      <c r="D33" s="23"/>
      <c r="E33" s="23"/>
      <c r="F33" s="4" t="s">
        <v>389</v>
      </c>
      <c r="G33" t="s">
        <v>456</v>
      </c>
      <c r="H33" s="8" t="s">
        <v>191</v>
      </c>
    </row>
    <row r="34" spans="1:8" x14ac:dyDescent="0.2">
      <c r="A34" s="17" t="s">
        <v>457</v>
      </c>
      <c r="B34" s="22">
        <v>0.5</v>
      </c>
      <c r="C34" s="23"/>
      <c r="D34" s="23"/>
      <c r="E34" s="23"/>
      <c r="F34" s="4" t="s">
        <v>389</v>
      </c>
      <c r="G34" t="s">
        <v>458</v>
      </c>
      <c r="H34" s="8" t="s">
        <v>459</v>
      </c>
    </row>
    <row r="35" spans="1:8" x14ac:dyDescent="0.2">
      <c r="A35" s="17" t="s">
        <v>460</v>
      </c>
      <c r="B35" s="22">
        <v>0</v>
      </c>
      <c r="C35" s="23"/>
      <c r="D35" s="23"/>
      <c r="E35" s="23"/>
      <c r="F35" s="4" t="s">
        <v>368</v>
      </c>
      <c r="G35" t="s">
        <v>461</v>
      </c>
      <c r="H35" s="8" t="s">
        <v>462</v>
      </c>
    </row>
    <row r="36" spans="1:8" x14ac:dyDescent="0.2">
      <c r="A36" s="17" t="s">
        <v>463</v>
      </c>
      <c r="B36" s="22">
        <v>0</v>
      </c>
      <c r="C36" s="23"/>
      <c r="D36" s="23"/>
      <c r="E36" s="23"/>
      <c r="F36" s="4" t="s">
        <v>368</v>
      </c>
      <c r="G36" t="s">
        <v>464</v>
      </c>
      <c r="H36" s="8" t="s">
        <v>462</v>
      </c>
    </row>
    <row r="37" spans="1:8" x14ac:dyDescent="0.2">
      <c r="A37" s="17" t="s">
        <v>465</v>
      </c>
      <c r="B37" s="22">
        <v>0</v>
      </c>
      <c r="C37" s="23"/>
      <c r="D37" s="23"/>
      <c r="E37" s="23"/>
      <c r="F37" s="4" t="s">
        <v>368</v>
      </c>
      <c r="G37" t="s">
        <v>464</v>
      </c>
      <c r="H37" s="8" t="s">
        <v>462</v>
      </c>
    </row>
    <row r="38" spans="1:8" x14ac:dyDescent="0.2">
      <c r="A38" s="17" t="s">
        <v>466</v>
      </c>
      <c r="B38" s="22">
        <v>0</v>
      </c>
      <c r="C38" s="23"/>
      <c r="D38" s="23"/>
      <c r="E38" s="23"/>
      <c r="F38" s="4" t="s">
        <v>368</v>
      </c>
      <c r="G38" t="s">
        <v>464</v>
      </c>
      <c r="H38" s="8" t="s">
        <v>462</v>
      </c>
    </row>
    <row r="39" spans="1:8" x14ac:dyDescent="0.2">
      <c r="A39" s="17" t="s">
        <v>467</v>
      </c>
      <c r="B39" s="22">
        <v>5</v>
      </c>
      <c r="C39" s="24">
        <v>8</v>
      </c>
      <c r="D39" s="24">
        <v>5</v>
      </c>
      <c r="E39" s="24">
        <v>0</v>
      </c>
      <c r="F39" s="4" t="s">
        <v>368</v>
      </c>
      <c r="G39" t="s">
        <v>468</v>
      </c>
      <c r="H39" s="8" t="s">
        <v>469</v>
      </c>
    </row>
    <row r="40" spans="1:8" ht="26" x14ac:dyDescent="0.2">
      <c r="A40" s="17" t="s">
        <v>470</v>
      </c>
      <c r="B40" s="22">
        <v>25</v>
      </c>
      <c r="C40" s="24">
        <v>35</v>
      </c>
      <c r="D40" s="24">
        <v>25</v>
      </c>
      <c r="E40" s="24">
        <v>0</v>
      </c>
      <c r="F40" s="4" t="s">
        <v>368</v>
      </c>
      <c r="G40" t="s">
        <v>471</v>
      </c>
      <c r="H40" s="8" t="s">
        <v>472</v>
      </c>
    </row>
    <row r="41" spans="1:8" x14ac:dyDescent="0.2">
      <c r="A41" s="17" t="s">
        <v>473</v>
      </c>
      <c r="B41" s="22">
        <v>12</v>
      </c>
      <c r="C41" s="24">
        <v>20</v>
      </c>
      <c r="D41" s="24">
        <v>12</v>
      </c>
      <c r="E41" s="24">
        <v>3</v>
      </c>
      <c r="F41" s="4" t="s">
        <v>368</v>
      </c>
      <c r="G41" t="s">
        <v>474</v>
      </c>
      <c r="H41" s="8" t="s">
        <v>475</v>
      </c>
    </row>
    <row r="42" spans="1:8" x14ac:dyDescent="0.2">
      <c r="A42" s="17" t="s">
        <v>476</v>
      </c>
      <c r="B42" s="22">
        <v>6</v>
      </c>
      <c r="C42" s="24">
        <v>12</v>
      </c>
      <c r="D42" s="24">
        <v>6</v>
      </c>
      <c r="E42" s="24">
        <v>3</v>
      </c>
      <c r="F42" s="4" t="s">
        <v>368</v>
      </c>
      <c r="G42" t="s">
        <v>477</v>
      </c>
      <c r="H42" s="8" t="s">
        <v>478</v>
      </c>
    </row>
    <row r="43" spans="1:8" x14ac:dyDescent="0.2">
      <c r="A43" s="17" t="s">
        <v>479</v>
      </c>
      <c r="B43" s="22">
        <v>22</v>
      </c>
      <c r="C43" s="24">
        <v>35</v>
      </c>
      <c r="D43" s="24">
        <v>22</v>
      </c>
      <c r="E43" s="24">
        <v>5</v>
      </c>
      <c r="F43" s="4" t="s">
        <v>368</v>
      </c>
      <c r="G43" t="s">
        <v>480</v>
      </c>
      <c r="H43" s="8" t="s">
        <v>481</v>
      </c>
    </row>
    <row r="44" spans="1:8" x14ac:dyDescent="0.2">
      <c r="A44" s="17" t="s">
        <v>482</v>
      </c>
      <c r="B44" s="22">
        <v>12</v>
      </c>
      <c r="C44" s="24">
        <v>22</v>
      </c>
      <c r="D44" s="24">
        <v>12</v>
      </c>
      <c r="E44" s="24">
        <v>3</v>
      </c>
      <c r="F44" s="4" t="s">
        <v>368</v>
      </c>
      <c r="G44" t="s">
        <v>483</v>
      </c>
      <c r="H44" s="8" t="s">
        <v>478</v>
      </c>
    </row>
    <row r="45" spans="1:8" x14ac:dyDescent="0.2">
      <c r="A45" s="17" t="s">
        <v>484</v>
      </c>
      <c r="B45" s="22">
        <v>8</v>
      </c>
      <c r="C45" s="24">
        <v>12</v>
      </c>
      <c r="D45" s="24">
        <v>8</v>
      </c>
      <c r="E45" s="24">
        <v>3</v>
      </c>
      <c r="F45" s="4" t="s">
        <v>368</v>
      </c>
      <c r="G45" t="s">
        <v>485</v>
      </c>
      <c r="H45" s="8" t="s">
        <v>478</v>
      </c>
    </row>
    <row r="46" spans="1:8" x14ac:dyDescent="0.2">
      <c r="A46" s="17" t="s">
        <v>486</v>
      </c>
      <c r="B46" s="22">
        <v>50</v>
      </c>
      <c r="C46" s="24">
        <v>100</v>
      </c>
      <c r="D46" s="24">
        <v>50</v>
      </c>
      <c r="E46" s="24">
        <v>5</v>
      </c>
      <c r="F46" s="4" t="s">
        <v>368</v>
      </c>
      <c r="G46" t="s">
        <v>487</v>
      </c>
      <c r="H46" s="8" t="s">
        <v>488</v>
      </c>
    </row>
    <row r="47" spans="1:8" x14ac:dyDescent="0.2">
      <c r="A47" s="17" t="s">
        <v>489</v>
      </c>
      <c r="B47" s="22">
        <v>25</v>
      </c>
      <c r="C47" s="24">
        <v>30</v>
      </c>
      <c r="D47" s="24">
        <v>25</v>
      </c>
      <c r="E47" s="24">
        <v>5</v>
      </c>
      <c r="F47" s="4" t="s">
        <v>368</v>
      </c>
      <c r="G47" t="s">
        <v>490</v>
      </c>
      <c r="H47" s="8" t="s">
        <v>478</v>
      </c>
    </row>
    <row r="48" spans="1:8" x14ac:dyDescent="0.2">
      <c r="A48" s="17" t="s">
        <v>491</v>
      </c>
      <c r="B48" s="22">
        <v>8</v>
      </c>
      <c r="C48" s="24">
        <v>15</v>
      </c>
      <c r="D48" s="24">
        <v>8</v>
      </c>
      <c r="E48" s="24">
        <v>5</v>
      </c>
      <c r="F48" s="4" t="s">
        <v>368</v>
      </c>
      <c r="G48" t="s">
        <v>492</v>
      </c>
      <c r="H48" s="8" t="s">
        <v>478</v>
      </c>
    </row>
    <row r="49" spans="1:8" x14ac:dyDescent="0.2">
      <c r="A49" s="17" t="s">
        <v>493</v>
      </c>
      <c r="B49" s="22">
        <v>18</v>
      </c>
      <c r="C49" s="24">
        <v>30</v>
      </c>
      <c r="D49" s="24">
        <v>18</v>
      </c>
      <c r="E49" s="24">
        <v>0</v>
      </c>
      <c r="F49" s="4" t="s">
        <v>368</v>
      </c>
      <c r="G49" t="s">
        <v>494</v>
      </c>
      <c r="H49" s="8" t="s">
        <v>495</v>
      </c>
    </row>
    <row r="50" spans="1:8" x14ac:dyDescent="0.2">
      <c r="A50" s="17" t="s">
        <v>496</v>
      </c>
      <c r="B50" s="22">
        <v>12</v>
      </c>
      <c r="C50" s="24">
        <v>20</v>
      </c>
      <c r="D50" s="24">
        <v>12</v>
      </c>
      <c r="E50" s="24">
        <v>3</v>
      </c>
      <c r="F50" s="4" t="s">
        <v>368</v>
      </c>
      <c r="G50" t="s">
        <v>497</v>
      </c>
      <c r="H50" s="8" t="s">
        <v>478</v>
      </c>
    </row>
    <row r="51" spans="1:8" x14ac:dyDescent="0.2">
      <c r="A51" s="17" t="s">
        <v>498</v>
      </c>
      <c r="B51" s="22">
        <v>8</v>
      </c>
      <c r="C51" s="24">
        <v>12</v>
      </c>
      <c r="D51" s="24">
        <v>8</v>
      </c>
      <c r="E51" s="24">
        <v>3</v>
      </c>
      <c r="F51" s="4" t="s">
        <v>368</v>
      </c>
      <c r="G51" t="s">
        <v>499</v>
      </c>
      <c r="H51" s="8" t="s">
        <v>478</v>
      </c>
    </row>
    <row r="52" spans="1:8" ht="26" x14ac:dyDescent="0.2">
      <c r="A52" s="17" t="s">
        <v>500</v>
      </c>
      <c r="B52" s="22">
        <v>60</v>
      </c>
      <c r="C52" s="24">
        <v>140</v>
      </c>
      <c r="D52" s="24">
        <v>60</v>
      </c>
      <c r="E52" s="24">
        <v>20</v>
      </c>
      <c r="F52" s="4" t="s">
        <v>368</v>
      </c>
      <c r="G52" t="s">
        <v>501</v>
      </c>
      <c r="H52" s="8" t="s">
        <v>502</v>
      </c>
    </row>
    <row r="53" spans="1:8" x14ac:dyDescent="0.2">
      <c r="A53" s="17" t="s">
        <v>503</v>
      </c>
      <c r="B53" s="22">
        <v>30</v>
      </c>
      <c r="C53" s="24">
        <v>50</v>
      </c>
      <c r="D53" s="24">
        <v>30</v>
      </c>
      <c r="E53" s="24">
        <v>10</v>
      </c>
      <c r="F53" s="4" t="s">
        <v>368</v>
      </c>
      <c r="G53" t="s">
        <v>504</v>
      </c>
      <c r="H53" s="8" t="s">
        <v>478</v>
      </c>
    </row>
    <row r="54" spans="1:8" x14ac:dyDescent="0.2">
      <c r="A54" s="17" t="s">
        <v>505</v>
      </c>
      <c r="B54" s="22">
        <v>15</v>
      </c>
      <c r="C54" s="24">
        <v>25</v>
      </c>
      <c r="D54" s="24">
        <v>15</v>
      </c>
      <c r="E54" s="24">
        <v>5</v>
      </c>
      <c r="F54" s="4" t="s">
        <v>368</v>
      </c>
      <c r="G54" t="s">
        <v>506</v>
      </c>
      <c r="H54" s="8" t="s">
        <v>478</v>
      </c>
    </row>
    <row r="55" spans="1:8" x14ac:dyDescent="0.2">
      <c r="A55" s="17" t="s">
        <v>507</v>
      </c>
      <c r="B55" s="22">
        <v>30</v>
      </c>
      <c r="C55" s="24">
        <v>60</v>
      </c>
      <c r="D55" s="24">
        <v>30</v>
      </c>
      <c r="E55" s="24">
        <v>10</v>
      </c>
      <c r="F55" s="4" t="s">
        <v>368</v>
      </c>
      <c r="G55" t="s">
        <v>508</v>
      </c>
      <c r="H55" s="8" t="s">
        <v>509</v>
      </c>
    </row>
    <row r="56" spans="1:8" x14ac:dyDescent="0.2">
      <c r="A56" s="17" t="s">
        <v>510</v>
      </c>
      <c r="B56" s="22">
        <v>15</v>
      </c>
      <c r="C56" s="24">
        <v>30</v>
      </c>
      <c r="D56" s="24">
        <v>15</v>
      </c>
      <c r="E56" s="24">
        <v>5</v>
      </c>
      <c r="F56" s="4" t="s">
        <v>368</v>
      </c>
      <c r="G56" t="s">
        <v>511</v>
      </c>
      <c r="H56" s="8" t="s">
        <v>478</v>
      </c>
    </row>
    <row r="57" spans="1:8" x14ac:dyDescent="0.2">
      <c r="A57" s="17" t="s">
        <v>512</v>
      </c>
      <c r="B57" s="22">
        <v>10</v>
      </c>
      <c r="C57" s="24">
        <v>15</v>
      </c>
      <c r="D57" s="24">
        <v>10</v>
      </c>
      <c r="E57" s="24">
        <v>5</v>
      </c>
      <c r="F57" s="4" t="s">
        <v>368</v>
      </c>
      <c r="G57" t="s">
        <v>513</v>
      </c>
      <c r="H57" s="8" t="s">
        <v>478</v>
      </c>
    </row>
    <row r="58" spans="1:8" ht="26" x14ac:dyDescent="0.2">
      <c r="A58" s="17" t="s">
        <v>514</v>
      </c>
      <c r="B58" s="22">
        <v>50</v>
      </c>
      <c r="C58" s="24">
        <v>100</v>
      </c>
      <c r="D58" s="24">
        <v>50</v>
      </c>
      <c r="E58" s="24">
        <v>15</v>
      </c>
      <c r="F58" s="4" t="s">
        <v>368</v>
      </c>
      <c r="G58" t="s">
        <v>515</v>
      </c>
      <c r="H58" s="8" t="s">
        <v>516</v>
      </c>
    </row>
    <row r="59" spans="1:8" x14ac:dyDescent="0.2">
      <c r="A59" s="17" t="s">
        <v>517</v>
      </c>
      <c r="B59" s="22">
        <v>25</v>
      </c>
      <c r="C59" s="24">
        <v>40</v>
      </c>
      <c r="D59" s="24">
        <v>25</v>
      </c>
      <c r="E59" s="24">
        <v>8</v>
      </c>
      <c r="F59" s="4" t="s">
        <v>368</v>
      </c>
      <c r="G59" t="s">
        <v>518</v>
      </c>
      <c r="H59" s="8" t="s">
        <v>478</v>
      </c>
    </row>
    <row r="60" spans="1:8" x14ac:dyDescent="0.2">
      <c r="A60" s="17" t="s">
        <v>519</v>
      </c>
      <c r="B60" s="22">
        <v>15</v>
      </c>
      <c r="C60" s="24">
        <v>20</v>
      </c>
      <c r="D60" s="24">
        <v>15</v>
      </c>
      <c r="E60" s="24">
        <v>5</v>
      </c>
      <c r="F60" s="4" t="s">
        <v>368</v>
      </c>
      <c r="G60" t="s">
        <v>520</v>
      </c>
      <c r="H60" s="8" t="s">
        <v>478</v>
      </c>
    </row>
    <row r="61" spans="1:8" x14ac:dyDescent="0.2">
      <c r="A61" s="17" t="s">
        <v>521</v>
      </c>
      <c r="B61" s="22">
        <v>40</v>
      </c>
      <c r="C61" s="24">
        <v>80</v>
      </c>
      <c r="D61" s="24">
        <v>40</v>
      </c>
      <c r="E61" s="24">
        <v>15</v>
      </c>
      <c r="F61" s="4" t="s">
        <v>368</v>
      </c>
      <c r="G61" t="s">
        <v>522</v>
      </c>
      <c r="H61" s="8" t="s">
        <v>478</v>
      </c>
    </row>
    <row r="62" spans="1:8" x14ac:dyDescent="0.2">
      <c r="A62" s="17" t="s">
        <v>523</v>
      </c>
      <c r="B62" s="22">
        <v>20</v>
      </c>
      <c r="C62" s="24">
        <v>35</v>
      </c>
      <c r="D62" s="24">
        <v>20</v>
      </c>
      <c r="E62" s="24">
        <v>8</v>
      </c>
      <c r="F62" s="4" t="s">
        <v>368</v>
      </c>
      <c r="G62" t="s">
        <v>524</v>
      </c>
      <c r="H62" s="8" t="s">
        <v>478</v>
      </c>
    </row>
    <row r="63" spans="1:8" x14ac:dyDescent="0.2">
      <c r="A63" s="17" t="s">
        <v>525</v>
      </c>
      <c r="B63" s="22">
        <v>10</v>
      </c>
      <c r="C63" s="24">
        <v>15</v>
      </c>
      <c r="D63" s="24">
        <v>10</v>
      </c>
      <c r="E63" s="24">
        <v>5</v>
      </c>
      <c r="F63" s="4" t="s">
        <v>368</v>
      </c>
      <c r="G63" t="s">
        <v>526</v>
      </c>
      <c r="H63" s="8" t="s">
        <v>478</v>
      </c>
    </row>
    <row r="64" spans="1:8" x14ac:dyDescent="0.2">
      <c r="A64" s="17" t="s">
        <v>527</v>
      </c>
      <c r="B64" s="22">
        <v>130</v>
      </c>
      <c r="C64" s="24">
        <v>185</v>
      </c>
      <c r="D64" s="24">
        <v>130</v>
      </c>
      <c r="E64" s="24">
        <v>70</v>
      </c>
      <c r="F64" s="4" t="s">
        <v>368</v>
      </c>
      <c r="G64" t="s">
        <v>528</v>
      </c>
      <c r="H64" s="8" t="s">
        <v>529</v>
      </c>
    </row>
    <row r="65" spans="1:8" x14ac:dyDescent="0.2">
      <c r="A65" s="17" t="s">
        <v>530</v>
      </c>
      <c r="B65" s="22">
        <v>120</v>
      </c>
      <c r="C65" s="24">
        <v>160</v>
      </c>
      <c r="D65" s="24">
        <v>120</v>
      </c>
      <c r="E65" s="24">
        <v>55</v>
      </c>
      <c r="F65" s="4" t="s">
        <v>368</v>
      </c>
      <c r="G65" t="s">
        <v>531</v>
      </c>
      <c r="H65" s="8" t="s">
        <v>532</v>
      </c>
    </row>
    <row r="66" spans="1:8" x14ac:dyDescent="0.2">
      <c r="A66" s="17" t="s">
        <v>533</v>
      </c>
      <c r="B66" s="22">
        <v>85</v>
      </c>
      <c r="C66" s="24">
        <v>115</v>
      </c>
      <c r="D66" s="24">
        <v>85</v>
      </c>
      <c r="E66" s="24">
        <v>40</v>
      </c>
      <c r="F66" s="4" t="s">
        <v>368</v>
      </c>
      <c r="G66" t="s">
        <v>534</v>
      </c>
      <c r="H66" s="8" t="s">
        <v>532</v>
      </c>
    </row>
    <row r="67" spans="1:8" x14ac:dyDescent="0.2">
      <c r="A67" s="17" t="s">
        <v>535</v>
      </c>
      <c r="B67" s="22">
        <v>65</v>
      </c>
      <c r="C67" s="24">
        <v>90</v>
      </c>
      <c r="D67" s="24">
        <v>65</v>
      </c>
      <c r="E67" s="24">
        <v>25</v>
      </c>
      <c r="F67" s="4" t="s">
        <v>368</v>
      </c>
      <c r="G67" t="s">
        <v>536</v>
      </c>
      <c r="H67" s="8"/>
    </row>
    <row r="68" spans="1:8" x14ac:dyDescent="0.2">
      <c r="A68" s="17" t="s">
        <v>537</v>
      </c>
      <c r="B68" s="22">
        <v>50</v>
      </c>
      <c r="C68" s="24">
        <v>70</v>
      </c>
      <c r="D68" s="24">
        <v>50</v>
      </c>
      <c r="E68" s="24">
        <v>15</v>
      </c>
      <c r="F68" s="4" t="s">
        <v>368</v>
      </c>
      <c r="G68" t="s">
        <v>538</v>
      </c>
      <c r="H68" s="8"/>
    </row>
    <row r="69" spans="1:8" x14ac:dyDescent="0.2">
      <c r="A69" s="17" t="s">
        <v>539</v>
      </c>
      <c r="B69" s="22">
        <v>35</v>
      </c>
      <c r="C69" s="24">
        <v>50</v>
      </c>
      <c r="D69" s="24">
        <v>35</v>
      </c>
      <c r="E69" s="24">
        <v>10</v>
      </c>
      <c r="F69" s="4" t="s">
        <v>368</v>
      </c>
      <c r="G69" t="s">
        <v>540</v>
      </c>
      <c r="H69" s="8" t="s">
        <v>541</v>
      </c>
    </row>
    <row r="70" spans="1:8" x14ac:dyDescent="0.2">
      <c r="A70" s="17" t="s">
        <v>542</v>
      </c>
      <c r="B70" s="22">
        <v>60</v>
      </c>
      <c r="C70" s="24">
        <v>70</v>
      </c>
      <c r="D70" s="24">
        <v>60</v>
      </c>
      <c r="E70" s="24">
        <v>15</v>
      </c>
      <c r="F70" s="4" t="s">
        <v>368</v>
      </c>
      <c r="G70" t="s">
        <v>543</v>
      </c>
      <c r="H70" s="8" t="s">
        <v>544</v>
      </c>
    </row>
    <row r="71" spans="1:8" x14ac:dyDescent="0.2">
      <c r="A71" s="17" t="s">
        <v>545</v>
      </c>
      <c r="B71" s="22">
        <v>50</v>
      </c>
      <c r="C71" s="24">
        <v>60</v>
      </c>
      <c r="D71" s="24">
        <v>50</v>
      </c>
      <c r="E71" s="24">
        <v>0</v>
      </c>
      <c r="F71" s="4" t="s">
        <v>368</v>
      </c>
      <c r="G71" t="s">
        <v>546</v>
      </c>
      <c r="H71" s="8"/>
    </row>
    <row r="72" spans="1:8" x14ac:dyDescent="0.2">
      <c r="A72" s="17" t="s">
        <v>547</v>
      </c>
      <c r="B72" s="22">
        <v>33</v>
      </c>
      <c r="C72" s="24">
        <v>50</v>
      </c>
      <c r="D72" s="24">
        <v>33</v>
      </c>
      <c r="E72" s="24">
        <v>-20</v>
      </c>
      <c r="F72" s="4" t="s">
        <v>368</v>
      </c>
      <c r="G72" t="s">
        <v>548</v>
      </c>
      <c r="H72" s="8"/>
    </row>
    <row r="73" spans="1:8" x14ac:dyDescent="0.2">
      <c r="A73" s="17" t="s">
        <v>549</v>
      </c>
      <c r="B73" s="22">
        <v>20</v>
      </c>
      <c r="C73" s="24">
        <v>35</v>
      </c>
      <c r="D73" s="24">
        <v>20</v>
      </c>
      <c r="E73" s="24">
        <v>0</v>
      </c>
      <c r="F73" s="4" t="s">
        <v>368</v>
      </c>
      <c r="G73" t="s">
        <v>550</v>
      </c>
      <c r="H73" s="8"/>
    </row>
    <row r="74" spans="1:8" x14ac:dyDescent="0.2">
      <c r="A74" s="17" t="s">
        <v>551</v>
      </c>
      <c r="B74" s="22">
        <v>1.8</v>
      </c>
      <c r="C74" s="24">
        <v>2.2000000000000002</v>
      </c>
      <c r="D74" s="24">
        <v>1.8</v>
      </c>
      <c r="E74" s="24">
        <v>1.2</v>
      </c>
      <c r="F74" s="4" t="s">
        <v>290</v>
      </c>
      <c r="G74" t="s">
        <v>552</v>
      </c>
      <c r="H74" s="8" t="s">
        <v>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workbookViewId="0"/>
  </sheetViews>
  <sheetFormatPr baseColWidth="10" defaultColWidth="8.83203125" defaultRowHeight="15" x14ac:dyDescent="0.2"/>
  <cols>
    <col min="1" max="1" width="52" customWidth="1"/>
    <col min="2" max="2" width="18" customWidth="1"/>
    <col min="3" max="4" width="20" customWidth="1"/>
    <col min="5" max="5" width="14" customWidth="1"/>
    <col min="6" max="7" width="10" customWidth="1"/>
    <col min="8" max="8" width="20" customWidth="1"/>
  </cols>
  <sheetData>
    <row r="1" spans="1:8" ht="17" x14ac:dyDescent="0.2">
      <c r="A1" s="1" t="s">
        <v>554</v>
      </c>
    </row>
    <row r="3" spans="1:8" x14ac:dyDescent="0.2">
      <c r="A3" s="10" t="s">
        <v>555</v>
      </c>
      <c r="B3" s="10" t="s">
        <v>556</v>
      </c>
      <c r="C3" s="10" t="s">
        <v>557</v>
      </c>
      <c r="D3" s="10" t="s">
        <v>558</v>
      </c>
      <c r="E3" s="10" t="s">
        <v>559</v>
      </c>
      <c r="F3" s="10" t="s">
        <v>560</v>
      </c>
      <c r="G3" s="10" t="s">
        <v>561</v>
      </c>
      <c r="H3" s="10" t="s">
        <v>562</v>
      </c>
    </row>
    <row r="4" spans="1:8" x14ac:dyDescent="0.2">
      <c r="A4" t="s">
        <v>563</v>
      </c>
      <c r="B4" s="22">
        <v>0</v>
      </c>
      <c r="C4" s="22">
        <v>1</v>
      </c>
      <c r="D4" s="22">
        <v>0</v>
      </c>
      <c r="E4" s="22">
        <v>0</v>
      </c>
      <c r="F4" s="22">
        <v>2029</v>
      </c>
      <c r="G4" s="22">
        <v>2030</v>
      </c>
      <c r="H4" s="22" t="s">
        <v>564</v>
      </c>
    </row>
    <row r="5" spans="1:8" x14ac:dyDescent="0.2">
      <c r="A5" t="s">
        <v>565</v>
      </c>
      <c r="B5" s="22">
        <v>1</v>
      </c>
      <c r="C5" s="22">
        <v>0</v>
      </c>
      <c r="D5" s="22">
        <v>0</v>
      </c>
      <c r="E5" s="22">
        <v>0</v>
      </c>
      <c r="F5" s="22">
        <v>2029</v>
      </c>
      <c r="G5" s="22">
        <v>2030</v>
      </c>
      <c r="H5" s="22" t="s">
        <v>564</v>
      </c>
    </row>
    <row r="6" spans="1:8" x14ac:dyDescent="0.2">
      <c r="A6" t="s">
        <v>566</v>
      </c>
      <c r="B6" s="22">
        <v>0</v>
      </c>
      <c r="C6" s="22">
        <v>0</v>
      </c>
      <c r="D6" s="22">
        <v>1</v>
      </c>
      <c r="E6" s="22">
        <v>0</v>
      </c>
      <c r="F6" s="22">
        <v>2029</v>
      </c>
      <c r="G6" s="22">
        <v>2030</v>
      </c>
      <c r="H6" s="22" t="s">
        <v>564</v>
      </c>
    </row>
    <row r="7" spans="1:8" x14ac:dyDescent="0.2">
      <c r="A7" t="s">
        <v>567</v>
      </c>
      <c r="B7" s="22">
        <v>0</v>
      </c>
      <c r="C7" s="22">
        <v>1</v>
      </c>
      <c r="D7" s="22">
        <v>0</v>
      </c>
      <c r="E7" s="22">
        <v>0</v>
      </c>
      <c r="F7" s="22">
        <v>2029</v>
      </c>
      <c r="G7" s="22">
        <v>2030</v>
      </c>
      <c r="H7" s="22" t="s">
        <v>60</v>
      </c>
    </row>
    <row r="8" spans="1:8" x14ac:dyDescent="0.2">
      <c r="A8" t="s">
        <v>568</v>
      </c>
      <c r="B8" s="22">
        <v>1</v>
      </c>
      <c r="C8" s="22">
        <v>0</v>
      </c>
      <c r="D8" s="22">
        <v>0</v>
      </c>
      <c r="E8" s="22">
        <v>0</v>
      </c>
      <c r="F8" s="22">
        <v>2029</v>
      </c>
      <c r="G8" s="22">
        <v>2029.5</v>
      </c>
      <c r="H8" s="22" t="s">
        <v>564</v>
      </c>
    </row>
    <row r="9" spans="1:8" x14ac:dyDescent="0.2">
      <c r="A9" t="s">
        <v>569</v>
      </c>
      <c r="B9" s="22">
        <v>0</v>
      </c>
      <c r="C9" s="22">
        <v>1</v>
      </c>
      <c r="D9" s="22">
        <v>0</v>
      </c>
      <c r="E9" s="22">
        <v>0</v>
      </c>
      <c r="F9" s="22">
        <v>2029.5</v>
      </c>
      <c r="G9" s="22">
        <v>2031.5</v>
      </c>
      <c r="H9" s="22" t="s">
        <v>564</v>
      </c>
    </row>
    <row r="10" spans="1:8" x14ac:dyDescent="0.2">
      <c r="A10" t="s">
        <v>570</v>
      </c>
      <c r="B10" s="22">
        <v>0</v>
      </c>
      <c r="C10" s="22">
        <v>0.75</v>
      </c>
      <c r="D10" s="22">
        <v>0</v>
      </c>
      <c r="E10" s="22">
        <v>0</v>
      </c>
      <c r="F10" s="22">
        <v>2029</v>
      </c>
      <c r="G10" s="22">
        <v>2032</v>
      </c>
      <c r="H10" s="22" t="s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Companies</vt:lpstr>
      <vt:lpstr>GDP</vt:lpstr>
      <vt:lpstr>StockMarket</vt:lpstr>
      <vt:lpstr>Compute</vt:lpstr>
      <vt:lpstr>Capabilities</vt:lpstr>
      <vt:lpstr>Capex</vt:lpstr>
      <vt:lpstr>Sector_MarketCap</vt:lpstr>
      <vt:lpstr>Sector_Debt</vt:lpstr>
      <vt:lpstr>Sector_Cash</vt:lpstr>
      <vt:lpstr>Parameters</vt:lpstr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Sanders</cp:lastModifiedBy>
  <dcterms:created xsi:type="dcterms:W3CDTF">2026-08-15T21:58:04Z</dcterms:created>
  <dcterms:modified xsi:type="dcterms:W3CDTF">2026-08-15T22:06:53Z</dcterms:modified>
</cp:coreProperties>
</file>